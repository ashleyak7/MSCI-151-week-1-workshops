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eyannabelle/Documents/"/>
    </mc:Choice>
  </mc:AlternateContent>
  <xr:revisionPtr revIDLastSave="0" documentId="13_ncr:1_{0A58BE2E-CAF7-354D-A9F0-4F728396AB99}" xr6:coauthVersionLast="47" xr6:coauthVersionMax="47" xr10:uidLastSave="{00000000-0000-0000-0000-000000000000}"/>
  <bookViews>
    <workbookView xWindow="380" yWindow="500" windowWidth="28040" windowHeight="16080" xr2:uid="{214EEE6B-DFEB-EA44-B687-65678324E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" l="1"/>
  <c r="R38" i="1"/>
  <c r="G23" i="1"/>
  <c r="A133" i="1"/>
  <c r="B133" i="1"/>
  <c r="B123" i="1"/>
  <c r="A123" i="1"/>
  <c r="A113" i="1"/>
  <c r="A103" i="1"/>
  <c r="E25" i="1"/>
  <c r="P24" i="1"/>
  <c r="Q29" i="1"/>
  <c r="Q28" i="1"/>
  <c r="Q27" i="1"/>
  <c r="Q26" i="1"/>
  <c r="Q25" i="1"/>
  <c r="Q24" i="1"/>
  <c r="N29" i="1"/>
  <c r="O29" i="1" s="1"/>
  <c r="O28" i="1"/>
  <c r="N28" i="1"/>
  <c r="N27" i="1"/>
  <c r="O27" i="1" s="1"/>
  <c r="N26" i="1"/>
  <c r="O26" i="1" s="1"/>
  <c r="N25" i="1"/>
  <c r="O25" i="1" s="1"/>
  <c r="O24" i="1"/>
  <c r="N24" i="1"/>
  <c r="P25" i="1"/>
  <c r="P26" i="1"/>
  <c r="P27" i="1"/>
  <c r="P28" i="1"/>
  <c r="P29" i="1"/>
  <c r="M30" i="1"/>
  <c r="F23" i="1"/>
  <c r="E24" i="1"/>
  <c r="D27" i="1"/>
  <c r="E26" i="1"/>
  <c r="E27" i="1"/>
  <c r="E28" i="1"/>
  <c r="B140" i="1"/>
  <c r="C140" i="1" s="1" a="1"/>
  <c r="C140" i="1" s="1"/>
  <c r="B139" i="1"/>
  <c r="B138" i="1"/>
  <c r="B137" i="1"/>
  <c r="C137" i="1" s="1" a="1"/>
  <c r="C137" i="1" s="1"/>
  <c r="B136" i="1"/>
  <c r="C136" i="1" s="1" a="1"/>
  <c r="C136" i="1" s="1"/>
  <c r="B135" i="1"/>
  <c r="C135" i="1" s="1" a="1"/>
  <c r="C135" i="1" s="1"/>
  <c r="C126" i="1" a="1"/>
  <c r="C126" i="1" s="1"/>
  <c r="B130" i="1"/>
  <c r="B129" i="1"/>
  <c r="B128" i="1"/>
  <c r="B127" i="1"/>
  <c r="B126" i="1"/>
  <c r="B125" i="1"/>
  <c r="B120" i="1"/>
  <c r="B119" i="1"/>
  <c r="B118" i="1"/>
  <c r="B117" i="1"/>
  <c r="B116" i="1"/>
  <c r="B115" i="1"/>
  <c r="B110" i="1"/>
  <c r="B109" i="1"/>
  <c r="B108" i="1"/>
  <c r="B107" i="1"/>
  <c r="B106" i="1"/>
  <c r="B105" i="1"/>
  <c r="B100" i="1"/>
  <c r="C100" i="1" s="1" a="1"/>
  <c r="C100" i="1" s="1"/>
  <c r="B99" i="1"/>
  <c r="C99" i="1" s="1" a="1"/>
  <c r="C99" i="1" s="1"/>
  <c r="B98" i="1"/>
  <c r="C98" i="1" s="1" a="1"/>
  <c r="C98" i="1" s="1"/>
  <c r="B97" i="1"/>
  <c r="C97" i="1" s="1" a="1"/>
  <c r="C97" i="1" s="1"/>
  <c r="B96" i="1"/>
  <c r="C96" i="1" s="1" a="1"/>
  <c r="C96" i="1" s="1"/>
  <c r="B95" i="1"/>
  <c r="C95" i="1" s="1" a="1"/>
  <c r="C95" i="1" s="1"/>
  <c r="C148" i="1"/>
  <c r="C147" i="1"/>
  <c r="B144" i="1"/>
  <c r="B146" i="1" s="1"/>
  <c r="B88" i="1"/>
  <c r="B87" i="1"/>
  <c r="B86" i="1"/>
  <c r="B85" i="1"/>
  <c r="B84" i="1"/>
  <c r="B83" i="1"/>
  <c r="F74" i="1"/>
  <c r="F75" i="1"/>
  <c r="F76" i="1"/>
  <c r="F77" i="1"/>
  <c r="F78" i="1"/>
  <c r="F73" i="1"/>
  <c r="F63" i="1"/>
  <c r="D78" i="1"/>
  <c r="E78" i="1" s="1"/>
  <c r="D77" i="1"/>
  <c r="E77" i="1" s="1"/>
  <c r="D76" i="1"/>
  <c r="E76" i="1" s="1"/>
  <c r="D75" i="1"/>
  <c r="E75" i="1" s="1"/>
  <c r="D74" i="1"/>
  <c r="E74" i="1" s="1"/>
  <c r="D73" i="1"/>
  <c r="E73" i="1" s="1"/>
  <c r="C74" i="1"/>
  <c r="C75" i="1"/>
  <c r="C76" i="1"/>
  <c r="C77" i="1"/>
  <c r="C78" i="1"/>
  <c r="C73" i="1"/>
  <c r="F64" i="1"/>
  <c r="F65" i="1"/>
  <c r="F66" i="1"/>
  <c r="F67" i="1"/>
  <c r="F68" i="1"/>
  <c r="E65" i="1"/>
  <c r="D68" i="1"/>
  <c r="E68" i="1" s="1"/>
  <c r="D67" i="1"/>
  <c r="E67" i="1" s="1"/>
  <c r="D66" i="1"/>
  <c r="E66" i="1" s="1"/>
  <c r="D65" i="1"/>
  <c r="D64" i="1"/>
  <c r="E64" i="1" s="1"/>
  <c r="D63" i="1"/>
  <c r="E63" i="1" s="1"/>
  <c r="G63" i="1" s="1"/>
  <c r="C64" i="1"/>
  <c r="C65" i="1"/>
  <c r="C66" i="1"/>
  <c r="C67" i="1"/>
  <c r="C68" i="1"/>
  <c r="C63" i="1"/>
  <c r="F56" i="1"/>
  <c r="N46" i="1" s="1"/>
  <c r="F57" i="1"/>
  <c r="F58" i="1"/>
  <c r="F55" i="1"/>
  <c r="F54" i="1"/>
  <c r="F53" i="1"/>
  <c r="F43" i="1"/>
  <c r="D58" i="1"/>
  <c r="E58" i="1" s="1"/>
  <c r="P37" i="1" s="1"/>
  <c r="D57" i="1"/>
  <c r="E57" i="1" s="1"/>
  <c r="P36" i="1" s="1"/>
  <c r="D56" i="1"/>
  <c r="E56" i="1" s="1"/>
  <c r="P35" i="1" s="1"/>
  <c r="Q35" i="1" s="1"/>
  <c r="R35" i="1" s="1"/>
  <c r="D55" i="1"/>
  <c r="E55" i="1" s="1"/>
  <c r="P34" i="1" s="1"/>
  <c r="D54" i="1"/>
  <c r="E54" i="1" s="1"/>
  <c r="D53" i="1"/>
  <c r="E53" i="1" s="1"/>
  <c r="C54" i="1"/>
  <c r="C55" i="1"/>
  <c r="C56" i="1"/>
  <c r="C57" i="1"/>
  <c r="C58" i="1"/>
  <c r="C53" i="1"/>
  <c r="F44" i="1"/>
  <c r="F45" i="1"/>
  <c r="M46" i="1" s="1"/>
  <c r="F46" i="1"/>
  <c r="F47" i="1"/>
  <c r="F48" i="1"/>
  <c r="F33" i="1"/>
  <c r="E43" i="1"/>
  <c r="D47" i="1"/>
  <c r="E47" i="1" s="1"/>
  <c r="O36" i="1" s="1"/>
  <c r="D43" i="1"/>
  <c r="C44" i="1"/>
  <c r="D44" i="1" s="1"/>
  <c r="E44" i="1" s="1"/>
  <c r="C45" i="1"/>
  <c r="D45" i="1" s="1"/>
  <c r="E45" i="1" s="1"/>
  <c r="O34" i="1" s="1"/>
  <c r="C46" i="1"/>
  <c r="D46" i="1" s="1"/>
  <c r="E46" i="1" s="1"/>
  <c r="O35" i="1" s="1"/>
  <c r="C47" i="1"/>
  <c r="C48" i="1"/>
  <c r="D48" i="1" s="1"/>
  <c r="C43" i="1"/>
  <c r="F37" i="1"/>
  <c r="F38" i="1"/>
  <c r="F36" i="1"/>
  <c r="F35" i="1"/>
  <c r="F34" i="1"/>
  <c r="D23" i="1"/>
  <c r="D33" i="1"/>
  <c r="E33" i="1" s="1"/>
  <c r="G33" i="1" s="1"/>
  <c r="C13" i="1"/>
  <c r="C14" i="1"/>
  <c r="C15" i="1"/>
  <c r="C16" i="1"/>
  <c r="C17" i="1"/>
  <c r="C12" i="1"/>
  <c r="C34" i="1"/>
  <c r="D34" i="1" s="1"/>
  <c r="E34" i="1" s="1"/>
  <c r="C35" i="1"/>
  <c r="D35" i="1" s="1"/>
  <c r="E35" i="1" s="1"/>
  <c r="C36" i="1"/>
  <c r="D36" i="1" s="1"/>
  <c r="E36" i="1" s="1"/>
  <c r="C37" i="1"/>
  <c r="D37" i="1" s="1"/>
  <c r="E37" i="1" s="1"/>
  <c r="C38" i="1"/>
  <c r="D38" i="1" s="1"/>
  <c r="E38" i="1" s="1"/>
  <c r="C23" i="1"/>
  <c r="E23" i="1" s="1"/>
  <c r="C33" i="1"/>
  <c r="F24" i="1"/>
  <c r="F25" i="1"/>
  <c r="F26" i="1"/>
  <c r="F27" i="1"/>
  <c r="F28" i="1"/>
  <c r="D24" i="1"/>
  <c r="D25" i="1"/>
  <c r="D26" i="1"/>
  <c r="D28" i="1"/>
  <c r="B28" i="1"/>
  <c r="B27" i="1"/>
  <c r="B37" i="1" s="1"/>
  <c r="B47" i="1" s="1"/>
  <c r="B57" i="1" s="1"/>
  <c r="B26" i="1"/>
  <c r="B36" i="1" s="1"/>
  <c r="B46" i="1" s="1"/>
  <c r="B56" i="1" s="1"/>
  <c r="B25" i="1"/>
  <c r="B35" i="1" s="1"/>
  <c r="B45" i="1" s="1"/>
  <c r="B55" i="1" s="1"/>
  <c r="B24" i="1"/>
  <c r="B34" i="1" s="1"/>
  <c r="B44" i="1" s="1"/>
  <c r="B54" i="1" s="1"/>
  <c r="B23" i="1"/>
  <c r="B33" i="1" s="1"/>
  <c r="B43" i="1" s="1"/>
  <c r="B53" i="1" s="1"/>
  <c r="B18" i="1"/>
  <c r="C119" i="1" l="1" a="1"/>
  <c r="C119" i="1" s="1"/>
  <c r="C120" i="1" a="1"/>
  <c r="C120" i="1" s="1"/>
  <c r="Q36" i="1"/>
  <c r="R36" i="1" s="1"/>
  <c r="R34" i="1"/>
  <c r="C117" i="1" a="1"/>
  <c r="C117" i="1" s="1"/>
  <c r="C129" i="1" a="1"/>
  <c r="C129" i="1" s="1"/>
  <c r="C118" i="1" a="1"/>
  <c r="C118" i="1" s="1"/>
  <c r="C130" i="1" a="1"/>
  <c r="C130" i="1" s="1"/>
  <c r="C115" i="1" a="1"/>
  <c r="C115" i="1" s="1"/>
  <c r="C127" i="1" a="1"/>
  <c r="C127" i="1" s="1"/>
  <c r="Q30" i="1"/>
  <c r="C116" i="1" a="1"/>
  <c r="C116" i="1" s="1"/>
  <c r="C128" i="1" a="1"/>
  <c r="C128" i="1" s="1"/>
  <c r="C138" i="1" a="1"/>
  <c r="C138" i="1" s="1"/>
  <c r="C139" i="1" a="1"/>
  <c r="C139" i="1" s="1"/>
  <c r="C125" i="1" a="1"/>
  <c r="C125" i="1" s="1"/>
  <c r="C109" i="1" a="1"/>
  <c r="C109" i="1" s="1"/>
  <c r="C110" i="1" a="1"/>
  <c r="C110" i="1" s="1"/>
  <c r="C108" i="1" a="1"/>
  <c r="C108" i="1" s="1"/>
  <c r="C105" i="1" a="1"/>
  <c r="C105" i="1" s="1"/>
  <c r="C106" i="1" a="1"/>
  <c r="C106" i="1" s="1"/>
  <c r="C107" i="1" a="1"/>
  <c r="C107" i="1" s="1"/>
  <c r="P30" i="1"/>
  <c r="E48" i="1"/>
  <c r="O37" i="1" s="1"/>
  <c r="Q37" i="1" s="1"/>
  <c r="R37" i="1" s="1"/>
  <c r="G25" i="1"/>
  <c r="G56" i="1"/>
  <c r="H56" i="1" s="1"/>
  <c r="D144" i="1"/>
  <c r="F144" i="1"/>
  <c r="G47" i="1"/>
  <c r="H47" i="1" s="1"/>
  <c r="G35" i="1"/>
  <c r="H35" i="1" s="1"/>
  <c r="G43" i="1"/>
  <c r="M47" i="1" s="1"/>
  <c r="G46" i="1"/>
  <c r="H46" i="1" s="1"/>
  <c r="G76" i="1"/>
  <c r="G38" i="1"/>
  <c r="H38" i="1" s="1"/>
  <c r="G54" i="1"/>
  <c r="H54" i="1" s="1"/>
  <c r="G55" i="1"/>
  <c r="H55" i="1" s="1"/>
  <c r="G45" i="1"/>
  <c r="H45" i="1" s="1"/>
  <c r="G68" i="1"/>
  <c r="H68" i="1" s="1"/>
  <c r="G58" i="1"/>
  <c r="H58" i="1" s="1"/>
  <c r="G37" i="1"/>
  <c r="H37" i="1" s="1"/>
  <c r="G66" i="1"/>
  <c r="G74" i="1"/>
  <c r="G36" i="1"/>
  <c r="H36" i="1" s="1"/>
  <c r="H33" i="1"/>
  <c r="G73" i="1"/>
  <c r="G65" i="1"/>
  <c r="G75" i="1"/>
  <c r="B145" i="1"/>
  <c r="G57" i="1"/>
  <c r="H57" i="1" s="1"/>
  <c r="G77" i="1"/>
  <c r="G34" i="1"/>
  <c r="H34" i="1" s="1"/>
  <c r="G64" i="1"/>
  <c r="G78" i="1"/>
  <c r="H78" i="1" s="1"/>
  <c r="G53" i="1"/>
  <c r="N47" i="1" s="1"/>
  <c r="G28" i="1"/>
  <c r="H28" i="1" s="1"/>
  <c r="G44" i="1"/>
  <c r="H44" i="1" s="1"/>
  <c r="G27" i="1"/>
  <c r="H27" i="1" s="1"/>
  <c r="G67" i="1"/>
  <c r="B67" i="1"/>
  <c r="B77" i="1" s="1"/>
  <c r="B63" i="1"/>
  <c r="B73" i="1" s="1"/>
  <c r="B64" i="1"/>
  <c r="B74" i="1" s="1"/>
  <c r="B65" i="1"/>
  <c r="B75" i="1" s="1"/>
  <c r="B66" i="1"/>
  <c r="B76" i="1" s="1"/>
  <c r="H25" i="1"/>
  <c r="G24" i="1"/>
  <c r="H24" i="1" s="1"/>
  <c r="G26" i="1"/>
  <c r="H26" i="1" s="1"/>
  <c r="C18" i="1"/>
  <c r="D146" i="1" l="1"/>
  <c r="G48" i="1"/>
  <c r="H48" i="1" s="1"/>
  <c r="D148" i="1"/>
  <c r="F146" i="1"/>
  <c r="F147" i="1"/>
  <c r="F145" i="1"/>
  <c r="Q31" i="1"/>
  <c r="F148" i="1"/>
  <c r="D147" i="1"/>
  <c r="D145" i="1"/>
  <c r="H59" i="1"/>
  <c r="N45" i="1" s="1"/>
  <c r="H69" i="1"/>
  <c r="H29" i="1"/>
  <c r="C83" i="1"/>
  <c r="C84" i="1"/>
  <c r="H79" i="1"/>
  <c r="H43" i="1"/>
  <c r="H49" i="1"/>
  <c r="M45" i="1" s="1"/>
  <c r="H39" i="1"/>
  <c r="C88" i="1"/>
  <c r="C87" i="1"/>
  <c r="H76" i="1"/>
  <c r="H23" i="1"/>
  <c r="C85" i="1"/>
  <c r="H53" i="1"/>
  <c r="C86" i="1"/>
  <c r="H74" i="1"/>
  <c r="H75" i="1"/>
  <c r="H73" i="1"/>
  <c r="H77" i="1"/>
  <c r="H67" i="1"/>
  <c r="H66" i="1"/>
  <c r="H63" i="1"/>
  <c r="H64" i="1"/>
  <c r="H65" i="1"/>
  <c r="E85" i="1" l="1"/>
  <c r="D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<sst xmlns="http://schemas.openxmlformats.org/spreadsheetml/2006/main" count="196" uniqueCount="85">
  <si>
    <t>AIConnect Decision Model - Optimal Capacity Analysis</t>
  </si>
  <si>
    <t>PARAMETERS</t>
  </si>
  <si>
    <t xml:space="preserve"> Profit per 1,000 chats (£)  </t>
  </si>
  <si>
    <t xml:space="preserve">Server cost per unit/hour (£) </t>
  </si>
  <si>
    <t xml:space="preserve">Unit capacity (chats/hour)   </t>
  </si>
  <si>
    <t>DEMAND SCENARIOS</t>
  </si>
  <si>
    <t>Possible demand levels (thousand  chats/hour)</t>
  </si>
  <si>
    <t xml:space="preserve">Probability  </t>
  </si>
  <si>
    <t>TOTAL</t>
  </si>
  <si>
    <t>Percentage</t>
  </si>
  <si>
    <t xml:space="preserve"> CAPACITY: 2 UNITS (40k chats/hour)</t>
  </si>
  <si>
    <t xml:space="preserve">Demand </t>
  </si>
  <si>
    <t>Probability</t>
  </si>
  <si>
    <t>Revenue (£)</t>
  </si>
  <si>
    <t>Profit (£)</t>
  </si>
  <si>
    <t>Cost (£)</t>
  </si>
  <si>
    <t>Weighted Profit (£)</t>
  </si>
  <si>
    <t>SECTION 3: DECISION ANALYSIS MATRIX</t>
  </si>
  <si>
    <t>40k</t>
  </si>
  <si>
    <t>60k</t>
  </si>
  <si>
    <t>80k</t>
  </si>
  <si>
    <t>100k</t>
  </si>
  <si>
    <t>120k</t>
  </si>
  <si>
    <t>140k</t>
  </si>
  <si>
    <t>Capacity</t>
  </si>
  <si>
    <t>EXPECTED VALUE (EV):</t>
  </si>
  <si>
    <t>Capacity Option: 3 Units (60k chats/hour)</t>
  </si>
  <si>
    <t>Capacity Option: 4 Units (80k chats/hour)</t>
  </si>
  <si>
    <t>Capacity Option: 5 Units (100k chats/hour)</t>
  </si>
  <si>
    <t>Capacity Option: 6 Units (120k chats/hour)</t>
  </si>
  <si>
    <t>Capacity Option: 7 Units (140k chats/hour)</t>
  </si>
  <si>
    <t>SECTION 4: EXPECTED VALUE SUMMARY</t>
  </si>
  <si>
    <t>Processing Units</t>
  </si>
  <si>
    <t>Capacity (k chats/hour)</t>
  </si>
  <si>
    <t>Expected Value (£)</t>
  </si>
  <si>
    <t>4 units</t>
  </si>
  <si>
    <t>5 units</t>
  </si>
  <si>
    <t>Scenario</t>
  </si>
  <si>
    <t>SENSITIVITY ANALYSIS</t>
  </si>
  <si>
    <t>Server Cost per Unit (£)</t>
  </si>
  <si>
    <t>Profit per 1,000 Chats (£)</t>
  </si>
  <si>
    <t>Optimal Units</t>
  </si>
  <si>
    <t>Base Case</t>
  </si>
  <si>
    <t>Higher Profit</t>
  </si>
  <si>
    <t>Higher Cost</t>
  </si>
  <si>
    <t>Lower Cost</t>
  </si>
  <si>
    <t xml:space="preserve">Lowe Profit </t>
  </si>
  <si>
    <t>Optimal Capacity</t>
  </si>
  <si>
    <t xml:space="preserve"> Expected Value</t>
  </si>
  <si>
    <t>Demand (k)</t>
  </si>
  <si>
    <t xml:space="preserve">Probability </t>
  </si>
  <si>
    <t xml:space="preserve">Weighted Demand </t>
  </si>
  <si>
    <t xml:space="preserve">Weighted Served </t>
  </si>
  <si>
    <t>Actual Chats (K)</t>
  </si>
  <si>
    <t>Reliability Percentage</t>
  </si>
  <si>
    <t>EVIDENCE: Why 4 units is the optimal option</t>
  </si>
  <si>
    <t>Expected Marginal Revenue</t>
  </si>
  <si>
    <t>Revenue 5 Units (100k capacity)</t>
  </si>
  <si>
    <t>Revenue 4 Units (80k capacity)</t>
  </si>
  <si>
    <t xml:space="preserve">Marginal Revenue </t>
  </si>
  <si>
    <t>Weighted Marignal revnue</t>
  </si>
  <si>
    <t>Metric</t>
  </si>
  <si>
    <t>4 Processing Units (80k Capacity)</t>
  </si>
  <si>
    <t>5 Processing Units (100k Capacity)</t>
  </si>
  <si>
    <t>Result</t>
  </si>
  <si>
    <t>Fixed Hourly Cost</t>
  </si>
  <si>
    <t>Minimum Profit (at 40k Demand)</t>
  </si>
  <si>
    <t>4 Units earns £6,132 more</t>
  </si>
  <si>
    <t>5 Units Costs £16.00 more</t>
  </si>
  <si>
    <t>4 Units is £16.00 safer</t>
  </si>
  <si>
    <t>£56.70/ hour</t>
  </si>
  <si>
    <t>£56.00/ hour</t>
  </si>
  <si>
    <t>Expected Value</t>
  </si>
  <si>
    <t>Annual  Profit</t>
  </si>
  <si>
    <t>Results Of Sensitivity Analysis</t>
  </si>
  <si>
    <t xml:space="preserve">4 Units is £0.70 Higher </t>
  </si>
  <si>
    <t>Profit per 1,000 Chats (£) increase 11.8%</t>
  </si>
  <si>
    <t>Profit per 1,000 Chats (£) decrease11.8%</t>
  </si>
  <si>
    <t>Server Cost per Unit (£) increase 12.5%</t>
  </si>
  <si>
    <t>Server Cost per Unit (£) decrease 12.5%</t>
  </si>
  <si>
    <t>Base Case (Optimal Option before sensitvity analysis)</t>
  </si>
  <si>
    <t>Scenario 1: Higher Profit</t>
  </si>
  <si>
    <t>Scenario 2: Lower Profit</t>
  </si>
  <si>
    <t>Scenario 3: Higher Cost</t>
  </si>
  <si>
    <t>Scenario 4: Lower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</si>
</sst>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£&quot;#,##0.00_);[Red]\(&quot;£&quot;#,##0.00\)"/>
    <numFmt numFmtId="44" formatCode="_(&quot;£&quot;* #,##0.00_);_(&quot;£&quot;* \(#,##0.00\);_(&quot;£&quot;* &quot;-&quot;??_);_(@_)"/>
    <numFmt numFmtId="43" formatCode="_(* #,##0.00_);_(* \(#,##0.00\);_(* &quot;-&quot;??_);_(@_)"/>
    <numFmt numFmtId="164" formatCode="&quot;£&quot;#,##0.00"/>
    <numFmt numFmtId="165" formatCode="_(* #,##0_);_(* \(#,##0\);_(* &quot;-&quot;??_);_(@_)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2" borderId="3" xfId="0" applyFont="1" applyFill="1" applyBorder="1" applyAlignment="1">
      <alignment horizontal="center"/>
    </xf>
    <xf numFmtId="9" fontId="0" fillId="0" borderId="1" xfId="1" applyNumberFormat="1" applyFont="1" applyBorder="1"/>
    <xf numFmtId="2" fontId="0" fillId="0" borderId="1" xfId="0" applyNumberFormat="1" applyBorder="1" applyAlignment="1">
      <alignment horizontal="center"/>
    </xf>
    <xf numFmtId="9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44" fontId="2" fillId="0" borderId="1" xfId="2" applyFont="1" applyBorder="1" applyAlignment="1">
      <alignment horizontal="center"/>
    </xf>
    <xf numFmtId="44" fontId="3" fillId="0" borderId="1" xfId="2" applyFont="1" applyBorder="1"/>
    <xf numFmtId="0" fontId="2" fillId="0" borderId="0" xfId="0" applyFont="1"/>
    <xf numFmtId="0" fontId="0" fillId="0" borderId="1" xfId="0" applyBorder="1"/>
    <xf numFmtId="0" fontId="0" fillId="0" borderId="6" xfId="0" applyBorder="1" applyAlignment="1">
      <alignment horizontal="center"/>
    </xf>
    <xf numFmtId="164" fontId="0" fillId="0" borderId="6" xfId="0" applyNumberFormat="1" applyBorder="1"/>
    <xf numFmtId="0" fontId="4" fillId="0" borderId="1" xfId="0" applyFont="1" applyBorder="1" applyAlignment="1">
      <alignment horizontal="center"/>
    </xf>
    <xf numFmtId="0" fontId="6" fillId="0" borderId="0" xfId="0" applyFont="1"/>
    <xf numFmtId="0" fontId="5" fillId="0" borderId="0" xfId="0" applyFont="1"/>
    <xf numFmtId="0" fontId="7" fillId="0" borderId="0" xfId="0" applyFont="1"/>
    <xf numFmtId="0" fontId="3" fillId="0" borderId="1" xfId="0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4" fontId="0" fillId="0" borderId="6" xfId="0" applyNumberFormat="1" applyBorder="1" applyAlignment="1">
      <alignment wrapText="1"/>
    </xf>
    <xf numFmtId="0" fontId="9" fillId="0" borderId="0" xfId="0" applyFont="1"/>
    <xf numFmtId="3" fontId="5" fillId="0" borderId="0" xfId="0" applyNumberFormat="1" applyFont="1"/>
    <xf numFmtId="0" fontId="8" fillId="0" borderId="0" xfId="0" applyFont="1"/>
    <xf numFmtId="3" fontId="3" fillId="0" borderId="0" xfId="0" applyNumberFormat="1" applyFont="1"/>
    <xf numFmtId="0" fontId="4" fillId="0" borderId="0" xfId="0" applyFont="1"/>
    <xf numFmtId="3" fontId="3" fillId="0" borderId="1" xfId="0" applyNumberFormat="1" applyFont="1" applyBorder="1"/>
    <xf numFmtId="165" fontId="3" fillId="0" borderId="1" xfId="1" applyNumberFormat="1" applyFont="1" applyBorder="1"/>
    <xf numFmtId="165" fontId="4" fillId="0" borderId="1" xfId="1" applyNumberFormat="1" applyFont="1" applyBorder="1"/>
    <xf numFmtId="0" fontId="8" fillId="0" borderId="2" xfId="0" applyFont="1" applyBorder="1"/>
    <xf numFmtId="0" fontId="3" fillId="0" borderId="8" xfId="0" applyFont="1" applyBorder="1"/>
    <xf numFmtId="3" fontId="3" fillId="0" borderId="8" xfId="0" applyNumberFormat="1" applyFont="1" applyBorder="1" applyAlignment="1">
      <alignment horizontal="center"/>
    </xf>
    <xf numFmtId="3" fontId="3" fillId="0" borderId="8" xfId="0" applyNumberFormat="1" applyFont="1" applyBorder="1"/>
    <xf numFmtId="165" fontId="4" fillId="0" borderId="8" xfId="1" applyNumberFormat="1" applyFont="1" applyBorder="1"/>
    <xf numFmtId="0" fontId="3" fillId="0" borderId="2" xfId="0" applyFont="1" applyBorder="1"/>
    <xf numFmtId="3" fontId="3" fillId="0" borderId="4" xfId="0" applyNumberFormat="1" applyFont="1" applyBorder="1"/>
    <xf numFmtId="164" fontId="3" fillId="0" borderId="1" xfId="0" applyNumberFormat="1" applyFont="1" applyBorder="1"/>
    <xf numFmtId="8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4" fontId="3" fillId="0" borderId="1" xfId="0" applyNumberFormat="1" applyFont="1" applyBorder="1" applyAlignment="1">
      <alignment horizontal="center"/>
    </xf>
    <xf numFmtId="44" fontId="0" fillId="0" borderId="0" xfId="0" applyNumberFormat="1"/>
    <xf numFmtId="0" fontId="4" fillId="0" borderId="8" xfId="0" applyFont="1" applyBorder="1" applyAlignment="1">
      <alignment horizontal="center"/>
    </xf>
    <xf numFmtId="0" fontId="4" fillId="0" borderId="4" xfId="0" applyFont="1" applyBorder="1"/>
    <xf numFmtId="165" fontId="4" fillId="0" borderId="3" xfId="0" applyNumberFormat="1" applyFont="1" applyBorder="1"/>
    <xf numFmtId="0" fontId="4" fillId="0" borderId="2" xfId="0" applyFont="1" applyBorder="1"/>
    <xf numFmtId="10" fontId="4" fillId="0" borderId="3" xfId="3" applyNumberFormat="1" applyFont="1" applyBorder="1"/>
    <xf numFmtId="164" fontId="4" fillId="0" borderId="1" xfId="0" applyNumberFormat="1" applyFont="1" applyBorder="1"/>
    <xf numFmtId="0" fontId="3" fillId="0" borderId="4" xfId="0" applyFont="1" applyBorder="1"/>
    <xf numFmtId="164" fontId="3" fillId="0" borderId="3" xfId="0" applyNumberFormat="1" applyFont="1" applyBorder="1"/>
    <xf numFmtId="0" fontId="2" fillId="0" borderId="6" xfId="0" applyFont="1" applyBorder="1" applyAlignment="1">
      <alignment horizontal="center"/>
    </xf>
    <xf numFmtId="0" fontId="10" fillId="0" borderId="0" xfId="0" applyFont="1"/>
    <xf numFmtId="8" fontId="10" fillId="0" borderId="0" xfId="0" applyNumberFormat="1" applyFont="1"/>
    <xf numFmtId="8" fontId="9" fillId="0" borderId="0" xfId="0" applyNumberFormat="1" applyFont="1"/>
    <xf numFmtId="8" fontId="7" fillId="0" borderId="0" xfId="0" applyNumberFormat="1" applyFont="1"/>
    <xf numFmtId="0" fontId="2" fillId="0" borderId="3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10" fillId="0" borderId="0" xfId="0" applyFont="1"/>
    <xf numFmtId="0" fontId="2" fillId="6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164" fontId="2" fillId="0" borderId="6" xfId="0" applyNumberFormat="1" applyFont="1" applyBorder="1" applyAlignment="1">
      <alignment wrapText="1"/>
    </xf>
  </cellXfs>
  <cellStyles count="4">
    <cellStyle name="Comma" xfId="1" builtinId="3"/>
    <cellStyle name="Currency" xfId="2" builtinId="4"/>
    <cellStyle name="Normal" xfId="0" builtinId="0"/>
    <cellStyle name="Per 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18035-24F9-AE41-8417-D1368BF8FE21}">
  <dimension ref="A1:V160"/>
  <sheetViews>
    <sheetView tabSelected="1" topLeftCell="A130" workbookViewId="0">
      <selection activeCell="Q46" sqref="Q46"/>
    </sheetView>
  </sheetViews>
  <sheetFormatPr baseColWidth="10" defaultRowHeight="16" x14ac:dyDescent="0.2"/>
  <cols>
    <col min="1" max="1" width="70.1640625" customWidth="1"/>
    <col min="2" max="2" width="36.5" customWidth="1"/>
    <col min="3" max="3" width="24.83203125" customWidth="1"/>
    <col min="4" max="4" width="21.5" customWidth="1"/>
    <col min="5" max="5" width="25.1640625" customWidth="1"/>
    <col min="6" max="6" width="22.83203125" customWidth="1"/>
    <col min="7" max="7" width="19.6640625" customWidth="1"/>
    <col min="8" max="8" width="17.6640625" customWidth="1"/>
    <col min="9" max="9" width="18.6640625" customWidth="1"/>
    <col min="10" max="10" width="28.1640625" customWidth="1"/>
    <col min="11" max="11" width="21.83203125" customWidth="1"/>
    <col min="12" max="12" width="36.83203125" customWidth="1"/>
    <col min="13" max="13" width="33.33203125" customWidth="1"/>
    <col min="14" max="14" width="31.33203125" customWidth="1"/>
    <col min="15" max="15" width="30.6640625" customWidth="1"/>
    <col min="16" max="16" width="29.83203125" customWidth="1"/>
    <col min="17" max="17" width="16.33203125" customWidth="1"/>
    <col min="18" max="18" width="21.83203125" customWidth="1"/>
    <col min="19" max="19" width="19.1640625" customWidth="1"/>
  </cols>
  <sheetData>
    <row r="1" spans="1:12" x14ac:dyDescent="0.2">
      <c r="A1" t="s">
        <v>0</v>
      </c>
    </row>
    <row r="2" spans="1:12" x14ac:dyDescent="0.2">
      <c r="E2" s="76"/>
      <c r="F2" s="57"/>
      <c r="G2" s="57"/>
      <c r="H2" s="57"/>
      <c r="I2" s="57"/>
      <c r="J2" s="57"/>
      <c r="K2" s="57"/>
      <c r="L2" s="57"/>
    </row>
    <row r="3" spans="1:12" x14ac:dyDescent="0.2">
      <c r="A3" s="9" t="s">
        <v>1</v>
      </c>
      <c r="B3" s="3"/>
      <c r="E3" s="76"/>
      <c r="F3" s="57"/>
      <c r="G3" s="57"/>
      <c r="H3" s="57"/>
      <c r="I3" s="57"/>
      <c r="J3" s="57"/>
      <c r="K3" s="57"/>
      <c r="L3" s="57"/>
    </row>
    <row r="4" spans="1:12" x14ac:dyDescent="0.2">
      <c r="A4" s="2" t="s">
        <v>2</v>
      </c>
      <c r="B4" s="5">
        <v>1.7</v>
      </c>
      <c r="E4" s="76"/>
      <c r="G4" s="57"/>
      <c r="H4" s="57"/>
      <c r="I4" s="57"/>
      <c r="J4" s="57"/>
      <c r="K4" s="57"/>
      <c r="L4" s="57"/>
    </row>
    <row r="5" spans="1:12" x14ac:dyDescent="0.2">
      <c r="A5" s="2" t="s">
        <v>3</v>
      </c>
      <c r="B5" s="5">
        <v>16</v>
      </c>
      <c r="E5" s="76"/>
      <c r="H5" s="57"/>
    </row>
    <row r="6" spans="1:12" x14ac:dyDescent="0.2">
      <c r="A6" s="2" t="s">
        <v>4</v>
      </c>
      <c r="B6" s="1">
        <v>20</v>
      </c>
      <c r="E6" s="57"/>
      <c r="F6" s="58"/>
      <c r="G6" s="58"/>
      <c r="H6" s="58"/>
      <c r="I6" s="58"/>
      <c r="J6" s="58"/>
      <c r="K6" s="58"/>
      <c r="L6" s="58"/>
    </row>
    <row r="7" spans="1:12" x14ac:dyDescent="0.2">
      <c r="E7" s="57"/>
      <c r="F7" s="58"/>
      <c r="G7" s="58"/>
      <c r="H7" s="58"/>
      <c r="I7" s="58"/>
      <c r="J7" s="58"/>
      <c r="K7" s="58"/>
      <c r="L7" s="58"/>
    </row>
    <row r="8" spans="1:12" x14ac:dyDescent="0.2">
      <c r="E8" s="57"/>
      <c r="F8" s="58"/>
      <c r="G8" s="58"/>
      <c r="H8" s="58"/>
      <c r="I8" s="58"/>
      <c r="J8" s="58"/>
      <c r="K8" s="58"/>
      <c r="L8" s="58"/>
    </row>
    <row r="9" spans="1:12" x14ac:dyDescent="0.2">
      <c r="E9" s="57"/>
      <c r="F9" s="58"/>
      <c r="G9" s="58"/>
      <c r="H9" s="58"/>
      <c r="I9" s="58"/>
      <c r="J9" s="58"/>
      <c r="K9" s="58"/>
      <c r="L9" s="58"/>
    </row>
    <row r="10" spans="1:12" x14ac:dyDescent="0.2">
      <c r="A10" s="9" t="s">
        <v>5</v>
      </c>
      <c r="B10" s="10"/>
      <c r="C10" s="3"/>
      <c r="E10" s="57"/>
      <c r="F10" s="58"/>
      <c r="G10" s="58"/>
      <c r="H10" s="58"/>
      <c r="I10" s="58"/>
      <c r="J10" s="58"/>
      <c r="K10" s="58"/>
      <c r="L10" s="58"/>
    </row>
    <row r="11" spans="1:12" ht="17" x14ac:dyDescent="0.2">
      <c r="A11" s="8" t="s">
        <v>6</v>
      </c>
      <c r="B11" s="7" t="s">
        <v>7</v>
      </c>
      <c r="C11" s="7" t="s">
        <v>9</v>
      </c>
      <c r="E11" s="57"/>
      <c r="F11" s="58"/>
      <c r="G11" s="58"/>
      <c r="H11" s="58"/>
      <c r="I11" s="58"/>
      <c r="J11" s="58"/>
      <c r="K11" s="58"/>
      <c r="L11" s="58"/>
    </row>
    <row r="12" spans="1:12" x14ac:dyDescent="0.2">
      <c r="A12" s="1">
        <v>40</v>
      </c>
      <c r="B12" s="1">
        <v>0.15</v>
      </c>
      <c r="C12" s="4">
        <f>B12</f>
        <v>0.15</v>
      </c>
    </row>
    <row r="13" spans="1:12" x14ac:dyDescent="0.2">
      <c r="A13" s="1">
        <v>60</v>
      </c>
      <c r="B13" s="1">
        <v>0.15</v>
      </c>
      <c r="C13" s="4">
        <f t="shared" ref="C13:C17" si="0">B13</f>
        <v>0.15</v>
      </c>
    </row>
    <row r="14" spans="1:12" x14ac:dyDescent="0.2">
      <c r="A14" s="1">
        <v>80</v>
      </c>
      <c r="B14" s="1">
        <v>0.25</v>
      </c>
      <c r="C14" s="4">
        <f t="shared" si="0"/>
        <v>0.25</v>
      </c>
    </row>
    <row r="15" spans="1:12" x14ac:dyDescent="0.2">
      <c r="A15" s="1">
        <v>100</v>
      </c>
      <c r="B15" s="1">
        <v>0.25</v>
      </c>
      <c r="C15" s="4">
        <f t="shared" si="0"/>
        <v>0.25</v>
      </c>
    </row>
    <row r="16" spans="1:12" x14ac:dyDescent="0.2">
      <c r="A16" s="1">
        <v>120</v>
      </c>
      <c r="B16" s="1">
        <v>0.15</v>
      </c>
      <c r="C16" s="4">
        <f t="shared" si="0"/>
        <v>0.15</v>
      </c>
    </row>
    <row r="17" spans="1:18" x14ac:dyDescent="0.2">
      <c r="A17" s="1">
        <v>140</v>
      </c>
      <c r="B17" s="1">
        <v>0.05</v>
      </c>
      <c r="C17" s="4">
        <f t="shared" si="0"/>
        <v>0.05</v>
      </c>
    </row>
    <row r="18" spans="1:18" x14ac:dyDescent="0.2">
      <c r="A18" s="7" t="s">
        <v>8</v>
      </c>
      <c r="B18" s="5">
        <f>SUM(B12:B17)</f>
        <v>1</v>
      </c>
      <c r="C18" s="6">
        <f>SUM(C12:C17)</f>
        <v>1</v>
      </c>
    </row>
    <row r="20" spans="1:18" x14ac:dyDescent="0.2">
      <c r="A20" s="69" t="s">
        <v>17</v>
      </c>
      <c r="B20" s="69"/>
      <c r="C20" s="69"/>
      <c r="D20" s="69"/>
      <c r="E20" s="69"/>
      <c r="F20" s="69"/>
      <c r="G20" s="69"/>
      <c r="H20" s="69"/>
    </row>
    <row r="21" spans="1:18" x14ac:dyDescent="0.2">
      <c r="A21" s="63" t="s">
        <v>10</v>
      </c>
      <c r="B21" s="64"/>
      <c r="C21" s="64"/>
      <c r="D21" s="64"/>
      <c r="E21" s="64"/>
      <c r="F21" s="64"/>
      <c r="G21" s="64"/>
      <c r="H21" s="65"/>
      <c r="L21" s="77" t="s">
        <v>55</v>
      </c>
      <c r="M21" s="77"/>
      <c r="N21" s="77"/>
      <c r="O21" s="77"/>
      <c r="P21" s="77"/>
      <c r="Q21" s="77"/>
      <c r="R21" s="32"/>
    </row>
    <row r="22" spans="1:18" x14ac:dyDescent="0.2">
      <c r="A22" s="7" t="s">
        <v>11</v>
      </c>
      <c r="B22" s="7" t="s">
        <v>12</v>
      </c>
      <c r="C22" s="7" t="s">
        <v>24</v>
      </c>
      <c r="D22" s="7" t="s">
        <v>53</v>
      </c>
      <c r="E22" s="7" t="s">
        <v>13</v>
      </c>
      <c r="F22" s="7" t="s">
        <v>15</v>
      </c>
      <c r="G22" s="7" t="s">
        <v>14</v>
      </c>
      <c r="H22" s="7" t="s">
        <v>16</v>
      </c>
      <c r="L22" s="32"/>
      <c r="M22" s="32"/>
      <c r="N22" s="32"/>
      <c r="O22" s="32"/>
      <c r="P22" s="32"/>
      <c r="Q22" s="32"/>
      <c r="R22" s="32"/>
    </row>
    <row r="23" spans="1:18" x14ac:dyDescent="0.2">
      <c r="A23" s="1" t="s">
        <v>18</v>
      </c>
      <c r="B23" s="1">
        <f t="shared" ref="B23:B28" si="1">B12</f>
        <v>0.15</v>
      </c>
      <c r="C23" s="1">
        <f>2*20</f>
        <v>40</v>
      </c>
      <c r="D23" s="11">
        <f>MIN(40,40)</f>
        <v>40</v>
      </c>
      <c r="E23" s="12">
        <f>MIN(A12,C23)*1.7</f>
        <v>68</v>
      </c>
      <c r="F23" s="12">
        <f>2*$B$5</f>
        <v>32</v>
      </c>
      <c r="G23" s="12">
        <f>E23-F23</f>
        <v>36</v>
      </c>
      <c r="H23" s="12">
        <f>G23*B23</f>
        <v>5.3999999999999995</v>
      </c>
      <c r="L23" s="25" t="s">
        <v>11</v>
      </c>
      <c r="M23" s="25" t="s">
        <v>50</v>
      </c>
      <c r="N23" s="7" t="s">
        <v>24</v>
      </c>
      <c r="O23" s="7" t="s">
        <v>53</v>
      </c>
      <c r="P23" s="25" t="s">
        <v>51</v>
      </c>
      <c r="Q23" s="25" t="s">
        <v>52</v>
      </c>
      <c r="R23" s="32"/>
    </row>
    <row r="24" spans="1:18" x14ac:dyDescent="0.2">
      <c r="A24" s="1" t="s">
        <v>19</v>
      </c>
      <c r="B24" s="1">
        <f t="shared" si="1"/>
        <v>0.15</v>
      </c>
      <c r="C24" s="1">
        <v>40</v>
      </c>
      <c r="D24" s="11">
        <f t="shared" ref="D24:D28" si="2">MIN(A24,C24)</f>
        <v>40</v>
      </c>
      <c r="E24" s="12">
        <f>MIN(A13,C24)*1.7</f>
        <v>68</v>
      </c>
      <c r="F24" s="12">
        <f>2*$B$5</f>
        <v>32</v>
      </c>
      <c r="G24" s="12">
        <f t="shared" ref="G24:G28" si="3">E24-F24</f>
        <v>36</v>
      </c>
      <c r="H24" s="12">
        <f>G24*B24</f>
        <v>5.3999999999999995</v>
      </c>
      <c r="L24" s="33">
        <v>40000</v>
      </c>
      <c r="M24" s="24">
        <v>0.15</v>
      </c>
      <c r="N24" s="20">
        <f>4*20</f>
        <v>80</v>
      </c>
      <c r="O24" s="11">
        <f>MIN(40,80)</f>
        <v>40</v>
      </c>
      <c r="P24" s="33">
        <f>L24*M24</f>
        <v>6000</v>
      </c>
      <c r="Q24" s="34">
        <f>40000*M24</f>
        <v>6000</v>
      </c>
      <c r="R24" s="32"/>
    </row>
    <row r="25" spans="1:18" x14ac:dyDescent="0.2">
      <c r="A25" s="1" t="s">
        <v>20</v>
      </c>
      <c r="B25" s="1">
        <f t="shared" si="1"/>
        <v>0.25</v>
      </c>
      <c r="C25" s="1">
        <v>40</v>
      </c>
      <c r="D25" s="11">
        <f t="shared" si="2"/>
        <v>40</v>
      </c>
      <c r="E25" s="12">
        <f>MIN(A14,C25)*1.7</f>
        <v>68</v>
      </c>
      <c r="F25" s="12">
        <f>2*$B$5</f>
        <v>32</v>
      </c>
      <c r="G25" s="12">
        <f>E25-F25</f>
        <v>36</v>
      </c>
      <c r="H25" s="12">
        <f>G25*B25</f>
        <v>9</v>
      </c>
      <c r="L25" s="33">
        <v>60000</v>
      </c>
      <c r="M25" s="24">
        <v>0.15</v>
      </c>
      <c r="N25" s="20">
        <f t="shared" ref="N25:N29" si="4">4*20</f>
        <v>80</v>
      </c>
      <c r="O25" s="11">
        <f>MIN(60,N25)</f>
        <v>60</v>
      </c>
      <c r="P25" s="33">
        <f>L25*M25</f>
        <v>9000</v>
      </c>
      <c r="Q25" s="34">
        <f>60000*M25</f>
        <v>9000</v>
      </c>
      <c r="R25" s="32"/>
    </row>
    <row r="26" spans="1:18" x14ac:dyDescent="0.2">
      <c r="A26" s="1" t="s">
        <v>21</v>
      </c>
      <c r="B26" s="1">
        <f t="shared" si="1"/>
        <v>0.25</v>
      </c>
      <c r="C26" s="1">
        <v>40</v>
      </c>
      <c r="D26" s="11">
        <f t="shared" si="2"/>
        <v>40</v>
      </c>
      <c r="E26" s="12">
        <f>MIN(A15,C26)*1.7</f>
        <v>68</v>
      </c>
      <c r="F26" s="12">
        <f>2*$B$5</f>
        <v>32</v>
      </c>
      <c r="G26" s="12">
        <f t="shared" si="3"/>
        <v>36</v>
      </c>
      <c r="H26" s="12">
        <f>G26*B26</f>
        <v>9</v>
      </c>
      <c r="L26" s="33">
        <v>80000</v>
      </c>
      <c r="M26" s="24">
        <v>0.25</v>
      </c>
      <c r="N26" s="20">
        <f t="shared" si="4"/>
        <v>80</v>
      </c>
      <c r="O26" s="11">
        <f>MIN(80,N26)</f>
        <v>80</v>
      </c>
      <c r="P26" s="33">
        <f>L26*M26</f>
        <v>20000</v>
      </c>
      <c r="Q26" s="34">
        <f>80000*M26</f>
        <v>20000</v>
      </c>
      <c r="R26" s="32"/>
    </row>
    <row r="27" spans="1:18" x14ac:dyDescent="0.2">
      <c r="A27" s="1" t="s">
        <v>22</v>
      </c>
      <c r="B27" s="1">
        <f t="shared" si="1"/>
        <v>0.15</v>
      </c>
      <c r="C27" s="1">
        <v>40</v>
      </c>
      <c r="D27" s="11">
        <f>MIN(A27,C27)</f>
        <v>40</v>
      </c>
      <c r="E27" s="12">
        <f>MIN(A16,C27)*1.7</f>
        <v>68</v>
      </c>
      <c r="F27" s="12">
        <f>2*$B$5</f>
        <v>32</v>
      </c>
      <c r="G27" s="12">
        <f t="shared" si="3"/>
        <v>36</v>
      </c>
      <c r="H27" s="12">
        <f>G27*B27</f>
        <v>5.3999999999999995</v>
      </c>
      <c r="L27" s="33">
        <v>100000</v>
      </c>
      <c r="M27" s="24">
        <v>0.25</v>
      </c>
      <c r="N27" s="20">
        <f t="shared" si="4"/>
        <v>80</v>
      </c>
      <c r="O27" s="11">
        <f>MIN(100,N27)</f>
        <v>80</v>
      </c>
      <c r="P27" s="33">
        <f>L27*M27</f>
        <v>25000</v>
      </c>
      <c r="Q27" s="34">
        <f>80000*M27</f>
        <v>20000</v>
      </c>
      <c r="R27" s="32"/>
    </row>
    <row r="28" spans="1:18" x14ac:dyDescent="0.2">
      <c r="A28" s="1" t="s">
        <v>23</v>
      </c>
      <c r="B28" s="5">
        <f t="shared" si="1"/>
        <v>0.05</v>
      </c>
      <c r="C28" s="1">
        <v>40</v>
      </c>
      <c r="D28" s="11">
        <f t="shared" si="2"/>
        <v>40</v>
      </c>
      <c r="E28" s="12">
        <f>MIN(A17,C28)*1.7</f>
        <v>68</v>
      </c>
      <c r="F28" s="12">
        <f>2*$B$5</f>
        <v>32</v>
      </c>
      <c r="G28" s="12">
        <f t="shared" si="3"/>
        <v>36</v>
      </c>
      <c r="H28" s="12">
        <f>G28*B28</f>
        <v>1.8</v>
      </c>
      <c r="L28" s="33">
        <v>120000</v>
      </c>
      <c r="M28" s="24">
        <v>0.15</v>
      </c>
      <c r="N28" s="20">
        <f t="shared" si="4"/>
        <v>80</v>
      </c>
      <c r="O28" s="11">
        <f>MIN(120,80)</f>
        <v>80</v>
      </c>
      <c r="P28" s="33">
        <f>L28*M28</f>
        <v>18000</v>
      </c>
      <c r="Q28" s="35">
        <f>80000*M28</f>
        <v>12000</v>
      </c>
      <c r="R28" s="32"/>
    </row>
    <row r="29" spans="1:18" x14ac:dyDescent="0.2">
      <c r="A29" s="70" t="s">
        <v>25</v>
      </c>
      <c r="B29" s="71"/>
      <c r="C29" s="71"/>
      <c r="D29" s="71"/>
      <c r="E29" s="71"/>
      <c r="F29" s="71"/>
      <c r="G29" s="72"/>
      <c r="H29" s="12">
        <f>SUMPRODUCT(G23:G28,B23:B28)</f>
        <v>35.999999999999993</v>
      </c>
      <c r="L29" s="33">
        <v>140000</v>
      </c>
      <c r="M29" s="37">
        <v>0.05</v>
      </c>
      <c r="N29" s="48">
        <f t="shared" si="4"/>
        <v>80</v>
      </c>
      <c r="O29" s="38">
        <f>MIN(L29,N29)</f>
        <v>80</v>
      </c>
      <c r="P29" s="39">
        <f>L29*M29</f>
        <v>7000</v>
      </c>
      <c r="Q29" s="40">
        <f>80000*M29</f>
        <v>4000</v>
      </c>
      <c r="R29" s="32"/>
    </row>
    <row r="30" spans="1:18" x14ac:dyDescent="0.2">
      <c r="L30" s="36" t="s">
        <v>8</v>
      </c>
      <c r="M30" s="41">
        <f>SUM(M24:M29)</f>
        <v>1</v>
      </c>
      <c r="N30" s="49"/>
      <c r="O30" s="49"/>
      <c r="P30" s="42">
        <f>SUM(P24:P29)</f>
        <v>85000</v>
      </c>
      <c r="Q30" s="50">
        <f>SUM(Q24:Q29)</f>
        <v>71000</v>
      </c>
      <c r="R30" s="32"/>
    </row>
    <row r="31" spans="1:18" x14ac:dyDescent="0.2">
      <c r="A31" s="63" t="s">
        <v>26</v>
      </c>
      <c r="B31" s="64"/>
      <c r="C31" s="64"/>
      <c r="D31" s="64"/>
      <c r="E31" s="64"/>
      <c r="F31" s="64"/>
      <c r="G31" s="64"/>
      <c r="H31" s="65"/>
      <c r="L31" s="32"/>
      <c r="M31" s="32"/>
      <c r="N31" s="32"/>
      <c r="O31" s="32"/>
      <c r="P31" s="51" t="s">
        <v>54</v>
      </c>
      <c r="Q31" s="52">
        <f>Q30/P30</f>
        <v>0.83529411764705885</v>
      </c>
      <c r="R31" s="32"/>
    </row>
    <row r="32" spans="1:18" x14ac:dyDescent="0.2">
      <c r="A32" s="7" t="s">
        <v>11</v>
      </c>
      <c r="B32" s="7" t="s">
        <v>12</v>
      </c>
      <c r="C32" s="7" t="s">
        <v>24</v>
      </c>
      <c r="D32" s="7" t="s">
        <v>53</v>
      </c>
      <c r="E32" s="7" t="s">
        <v>13</v>
      </c>
      <c r="F32" s="14" t="s">
        <v>15</v>
      </c>
      <c r="G32" s="7" t="s">
        <v>14</v>
      </c>
      <c r="H32" s="7" t="s">
        <v>16</v>
      </c>
      <c r="L32" s="32"/>
      <c r="M32" s="32"/>
      <c r="N32" s="32"/>
      <c r="O32" s="32"/>
      <c r="P32" s="32"/>
      <c r="Q32" s="32"/>
      <c r="R32" s="32"/>
    </row>
    <row r="33" spans="1:18" x14ac:dyDescent="0.2">
      <c r="A33" s="1" t="s">
        <v>18</v>
      </c>
      <c r="B33" s="1">
        <f>B23</f>
        <v>0.15</v>
      </c>
      <c r="C33" s="1">
        <f>3*20</f>
        <v>60</v>
      </c>
      <c r="D33" s="11">
        <f>MIN(40,60)</f>
        <v>40</v>
      </c>
      <c r="E33" s="12">
        <f>D33*1.7</f>
        <v>68</v>
      </c>
      <c r="F33" s="15">
        <f>3*B5</f>
        <v>48</v>
      </c>
      <c r="G33" s="12">
        <f>E33-F33</f>
        <v>20</v>
      </c>
      <c r="H33" s="12">
        <f>G33*B33</f>
        <v>3</v>
      </c>
      <c r="L33" s="25" t="s">
        <v>37</v>
      </c>
      <c r="M33" s="25" t="s">
        <v>49</v>
      </c>
      <c r="N33" s="25" t="s">
        <v>12</v>
      </c>
      <c r="O33" s="25" t="s">
        <v>58</v>
      </c>
      <c r="P33" s="25" t="s">
        <v>57</v>
      </c>
      <c r="Q33" s="25" t="s">
        <v>59</v>
      </c>
      <c r="R33" s="25" t="s">
        <v>60</v>
      </c>
    </row>
    <row r="34" spans="1:18" x14ac:dyDescent="0.2">
      <c r="A34" s="1" t="s">
        <v>19</v>
      </c>
      <c r="B34" s="1">
        <f>B24</f>
        <v>0.15</v>
      </c>
      <c r="C34" s="1">
        <f t="shared" ref="C34:C38" si="5">3*20</f>
        <v>60</v>
      </c>
      <c r="D34" s="11">
        <f>MIN(A34,C34)</f>
        <v>60</v>
      </c>
      <c r="E34" s="12">
        <f>D34*1.7</f>
        <v>102</v>
      </c>
      <c r="F34" s="15">
        <f>3*B5</f>
        <v>48</v>
      </c>
      <c r="G34" s="12">
        <f t="shared" ref="G34:G38" si="6">E34-F34</f>
        <v>54</v>
      </c>
      <c r="H34" s="12">
        <f>G34*B34</f>
        <v>8.1</v>
      </c>
      <c r="L34" s="24" t="s">
        <v>20</v>
      </c>
      <c r="M34" s="24">
        <v>80</v>
      </c>
      <c r="N34" s="24">
        <v>0.25</v>
      </c>
      <c r="O34" s="43">
        <f>E45</f>
        <v>136</v>
      </c>
      <c r="P34" s="43">
        <f>E55</f>
        <v>136</v>
      </c>
      <c r="Q34" s="43">
        <f>P34-O34</f>
        <v>0</v>
      </c>
      <c r="R34" s="43">
        <f>Q34*N34</f>
        <v>0</v>
      </c>
    </row>
    <row r="35" spans="1:18" x14ac:dyDescent="0.2">
      <c r="A35" s="1" t="s">
        <v>20</v>
      </c>
      <c r="B35" s="1">
        <f>B25</f>
        <v>0.25</v>
      </c>
      <c r="C35" s="1">
        <f t="shared" si="5"/>
        <v>60</v>
      </c>
      <c r="D35" s="11">
        <f t="shared" ref="D35:D38" si="7">MIN(A35,C35)</f>
        <v>60</v>
      </c>
      <c r="E35" s="12">
        <f>D35*1.7</f>
        <v>102</v>
      </c>
      <c r="F35" s="15">
        <f>3*B5</f>
        <v>48</v>
      </c>
      <c r="G35" s="12">
        <f t="shared" si="6"/>
        <v>54</v>
      </c>
      <c r="H35" s="12">
        <f>G35*B35</f>
        <v>13.5</v>
      </c>
      <c r="L35" s="24" t="s">
        <v>21</v>
      </c>
      <c r="M35" s="24">
        <v>100</v>
      </c>
      <c r="N35" s="24">
        <v>0.25</v>
      </c>
      <c r="O35" s="43">
        <f>E46</f>
        <v>136</v>
      </c>
      <c r="P35" s="53">
        <f>E56</f>
        <v>170</v>
      </c>
      <c r="Q35" s="43">
        <f t="shared" ref="Q35:Q37" si="8">P35-O35</f>
        <v>34</v>
      </c>
      <c r="R35" s="43">
        <f>Q35*N35</f>
        <v>8.5</v>
      </c>
    </row>
    <row r="36" spans="1:18" x14ac:dyDescent="0.2">
      <c r="A36" s="1" t="s">
        <v>21</v>
      </c>
      <c r="B36" s="1">
        <f>B26</f>
        <v>0.25</v>
      </c>
      <c r="C36" s="1">
        <f t="shared" si="5"/>
        <v>60</v>
      </c>
      <c r="D36" s="11">
        <f t="shared" si="7"/>
        <v>60</v>
      </c>
      <c r="E36" s="12">
        <f>D36*1.7</f>
        <v>102</v>
      </c>
      <c r="F36" s="15">
        <f>3*$B$5</f>
        <v>48</v>
      </c>
      <c r="G36" s="12">
        <f t="shared" si="6"/>
        <v>54</v>
      </c>
      <c r="H36" s="12">
        <f>G36*B36</f>
        <v>13.5</v>
      </c>
      <c r="L36" s="24" t="s">
        <v>22</v>
      </c>
      <c r="M36" s="24">
        <v>120</v>
      </c>
      <c r="N36" s="24">
        <v>0.15</v>
      </c>
      <c r="O36" s="43">
        <f>E47</f>
        <v>136</v>
      </c>
      <c r="P36" s="43">
        <f>E57</f>
        <v>170</v>
      </c>
      <c r="Q36" s="43">
        <f t="shared" si="8"/>
        <v>34</v>
      </c>
      <c r="R36" s="43">
        <f t="shared" ref="R36:R37" si="9">Q36*N36</f>
        <v>5.0999999999999996</v>
      </c>
    </row>
    <row r="37" spans="1:18" x14ac:dyDescent="0.2">
      <c r="A37" s="1" t="s">
        <v>22</v>
      </c>
      <c r="B37" s="5">
        <f>B27</f>
        <v>0.15</v>
      </c>
      <c r="C37" s="1">
        <f t="shared" si="5"/>
        <v>60</v>
      </c>
      <c r="D37" s="11">
        <f t="shared" si="7"/>
        <v>60</v>
      </c>
      <c r="E37" s="12">
        <f>D37*1.7</f>
        <v>102</v>
      </c>
      <c r="F37" s="15">
        <f>3*$B$5</f>
        <v>48</v>
      </c>
      <c r="G37" s="12">
        <f t="shared" si="6"/>
        <v>54</v>
      </c>
      <c r="H37" s="12">
        <f>G37*B37</f>
        <v>8.1</v>
      </c>
      <c r="L37" s="24" t="s">
        <v>23</v>
      </c>
      <c r="M37" s="24">
        <v>140</v>
      </c>
      <c r="N37" s="24">
        <v>0.05</v>
      </c>
      <c r="O37" s="43">
        <f>E48</f>
        <v>136</v>
      </c>
      <c r="P37" s="43">
        <f>E58</f>
        <v>170</v>
      </c>
      <c r="Q37" s="43">
        <f t="shared" si="8"/>
        <v>34</v>
      </c>
      <c r="R37" s="43">
        <f t="shared" si="9"/>
        <v>1.7000000000000002</v>
      </c>
    </row>
    <row r="38" spans="1:18" x14ac:dyDescent="0.2">
      <c r="A38" s="1" t="s">
        <v>23</v>
      </c>
      <c r="B38" s="13">
        <v>0.05</v>
      </c>
      <c r="C38" s="1">
        <f t="shared" si="5"/>
        <v>60</v>
      </c>
      <c r="D38" s="11">
        <f t="shared" si="7"/>
        <v>60</v>
      </c>
      <c r="E38" s="12">
        <f>D38*1.7</f>
        <v>102</v>
      </c>
      <c r="F38" s="15">
        <f>3*$B$5</f>
        <v>48</v>
      </c>
      <c r="G38" s="12">
        <f t="shared" si="6"/>
        <v>54</v>
      </c>
      <c r="H38" s="12">
        <f>G38*B38</f>
        <v>2.7</v>
      </c>
      <c r="L38" s="36" t="s">
        <v>56</v>
      </c>
      <c r="M38" s="54"/>
      <c r="N38" s="54"/>
      <c r="O38" s="54"/>
      <c r="P38" s="54"/>
      <c r="Q38" s="54"/>
      <c r="R38" s="55">
        <f>SUM(R34:R37)</f>
        <v>15.3</v>
      </c>
    </row>
    <row r="39" spans="1:18" x14ac:dyDescent="0.2">
      <c r="A39" s="70" t="s">
        <v>25</v>
      </c>
      <c r="B39" s="71"/>
      <c r="C39" s="71"/>
      <c r="D39" s="71"/>
      <c r="E39" s="71"/>
      <c r="F39" s="71"/>
      <c r="G39" s="72"/>
      <c r="H39" s="12">
        <f>SUMPRODUCT( G33:G38,B33:B38)</f>
        <v>48.900000000000006</v>
      </c>
      <c r="L39" s="32"/>
      <c r="M39" s="32"/>
      <c r="N39" s="32"/>
      <c r="O39" s="32"/>
      <c r="P39" s="32"/>
      <c r="Q39" s="32"/>
      <c r="R39" s="32"/>
    </row>
    <row r="40" spans="1:18" x14ac:dyDescent="0.2">
      <c r="L40" s="32"/>
      <c r="M40" s="32"/>
      <c r="N40" s="32"/>
      <c r="O40" s="32"/>
      <c r="P40" s="32"/>
      <c r="Q40" s="32"/>
      <c r="R40" s="32"/>
    </row>
    <row r="41" spans="1:18" x14ac:dyDescent="0.2">
      <c r="A41" s="63" t="s">
        <v>27</v>
      </c>
      <c r="B41" s="64"/>
      <c r="C41" s="64"/>
      <c r="D41" s="64"/>
      <c r="E41" s="64"/>
      <c r="F41" s="64"/>
      <c r="G41" s="64"/>
      <c r="H41" s="65"/>
      <c r="L41" s="32"/>
      <c r="M41" s="32"/>
      <c r="N41" s="32"/>
      <c r="O41" s="32"/>
      <c r="P41" s="32"/>
      <c r="Q41" s="32"/>
      <c r="R41" s="32"/>
    </row>
    <row r="42" spans="1:18" x14ac:dyDescent="0.2">
      <c r="A42" s="7" t="s">
        <v>11</v>
      </c>
      <c r="B42" s="7" t="s">
        <v>12</v>
      </c>
      <c r="C42" s="7" t="s">
        <v>24</v>
      </c>
      <c r="D42" s="7" t="s">
        <v>53</v>
      </c>
      <c r="E42" s="7" t="s">
        <v>13</v>
      </c>
      <c r="F42" s="14" t="s">
        <v>15</v>
      </c>
      <c r="G42" s="7" t="s">
        <v>14</v>
      </c>
      <c r="H42" s="7" t="s">
        <v>16</v>
      </c>
      <c r="L42" s="32"/>
      <c r="M42" s="32"/>
      <c r="N42" s="32"/>
      <c r="O42" s="32"/>
      <c r="P42" s="32"/>
      <c r="Q42" s="32"/>
      <c r="R42" s="32"/>
    </row>
    <row r="43" spans="1:18" x14ac:dyDescent="0.2">
      <c r="A43" s="1" t="s">
        <v>18</v>
      </c>
      <c r="B43" s="1">
        <f>B33</f>
        <v>0.15</v>
      </c>
      <c r="C43" s="1">
        <f>4*20</f>
        <v>80</v>
      </c>
      <c r="D43" s="11">
        <f>MIN(40,80)</f>
        <v>40</v>
      </c>
      <c r="E43" s="12">
        <f>40*1.7</f>
        <v>68</v>
      </c>
      <c r="F43" s="15">
        <f>4*$B$5</f>
        <v>64</v>
      </c>
      <c r="G43" s="12">
        <f>E43-F43</f>
        <v>4</v>
      </c>
      <c r="H43" s="12">
        <f>G43*B43</f>
        <v>0.6</v>
      </c>
      <c r="L43" s="26" t="s">
        <v>61</v>
      </c>
      <c r="M43" s="26" t="s">
        <v>62</v>
      </c>
      <c r="N43" s="26" t="s">
        <v>63</v>
      </c>
      <c r="O43" s="26" t="s">
        <v>64</v>
      </c>
      <c r="P43" s="32"/>
      <c r="Q43" s="32"/>
      <c r="R43" s="32"/>
    </row>
    <row r="44" spans="1:18" x14ac:dyDescent="0.2">
      <c r="A44" s="1" t="s">
        <v>19</v>
      </c>
      <c r="B44" s="1">
        <f>B34</f>
        <v>0.15</v>
      </c>
      <c r="C44" s="1">
        <f t="shared" ref="C44:C48" si="10">4*20</f>
        <v>80</v>
      </c>
      <c r="D44" s="11">
        <f>MIN(60,C44)</f>
        <v>60</v>
      </c>
      <c r="E44" s="12">
        <f>D44*1.7</f>
        <v>102</v>
      </c>
      <c r="F44" s="15">
        <f>4*$B$5</f>
        <v>64</v>
      </c>
      <c r="G44" s="12">
        <f t="shared" ref="G44:G48" si="11">E44-F44</f>
        <v>38</v>
      </c>
      <c r="H44" s="12">
        <f>G44*B44</f>
        <v>5.7</v>
      </c>
      <c r="L44" s="11" t="s">
        <v>72</v>
      </c>
      <c r="M44" s="11" t="s">
        <v>70</v>
      </c>
      <c r="N44" s="11" t="s">
        <v>71</v>
      </c>
      <c r="O44" s="11" t="s">
        <v>75</v>
      </c>
      <c r="P44" s="32"/>
      <c r="Q44" s="32"/>
      <c r="R44" s="32"/>
    </row>
    <row r="45" spans="1:18" x14ac:dyDescent="0.2">
      <c r="A45" s="1" t="s">
        <v>20</v>
      </c>
      <c r="B45" s="1">
        <f>B35</f>
        <v>0.25</v>
      </c>
      <c r="C45" s="1">
        <f t="shared" si="10"/>
        <v>80</v>
      </c>
      <c r="D45" s="11">
        <f>MIN(80,C45)</f>
        <v>80</v>
      </c>
      <c r="E45" s="12">
        <f>D45*1.7</f>
        <v>136</v>
      </c>
      <c r="F45" s="15">
        <f>4*$B$5</f>
        <v>64</v>
      </c>
      <c r="G45" s="12">
        <f t="shared" si="11"/>
        <v>72</v>
      </c>
      <c r="H45" s="12">
        <f>G45*B45</f>
        <v>18</v>
      </c>
      <c r="L45" s="11" t="s">
        <v>73</v>
      </c>
      <c r="M45" s="44">
        <f>H49*(24*365)</f>
        <v>496691.99999999994</v>
      </c>
      <c r="N45" s="45">
        <f>H59*(24*365)</f>
        <v>490560</v>
      </c>
      <c r="O45" s="11" t="s">
        <v>67</v>
      </c>
      <c r="P45" s="32"/>
      <c r="Q45" s="32"/>
      <c r="R45" s="32"/>
    </row>
    <row r="46" spans="1:18" x14ac:dyDescent="0.2">
      <c r="A46" s="1" t="s">
        <v>21</v>
      </c>
      <c r="B46" s="1">
        <f>B36</f>
        <v>0.25</v>
      </c>
      <c r="C46" s="1">
        <f t="shared" si="10"/>
        <v>80</v>
      </c>
      <c r="D46" s="11">
        <f>MIN(100,C46)</f>
        <v>80</v>
      </c>
      <c r="E46" s="12">
        <f>D46*1.7</f>
        <v>136</v>
      </c>
      <c r="F46" s="15">
        <f>4*$B$5</f>
        <v>64</v>
      </c>
      <c r="G46" s="12">
        <f t="shared" si="11"/>
        <v>72</v>
      </c>
      <c r="H46" s="12">
        <f>G46*B46</f>
        <v>18</v>
      </c>
      <c r="L46" s="11" t="s">
        <v>65</v>
      </c>
      <c r="M46" s="46">
        <f>F45</f>
        <v>64</v>
      </c>
      <c r="N46" s="46">
        <f>F56</f>
        <v>80</v>
      </c>
      <c r="O46" s="11" t="s">
        <v>68</v>
      </c>
      <c r="P46" s="32"/>
      <c r="Q46" s="32"/>
      <c r="R46" s="32"/>
    </row>
    <row r="47" spans="1:18" x14ac:dyDescent="0.2">
      <c r="A47" s="1" t="s">
        <v>22</v>
      </c>
      <c r="B47" s="5">
        <f>B37</f>
        <v>0.15</v>
      </c>
      <c r="C47" s="1">
        <f t="shared" si="10"/>
        <v>80</v>
      </c>
      <c r="D47" s="11">
        <f>MIN(120,80)</f>
        <v>80</v>
      </c>
      <c r="E47" s="12">
        <f>D47*1.7</f>
        <v>136</v>
      </c>
      <c r="F47" s="15">
        <f>4*$B$5</f>
        <v>64</v>
      </c>
      <c r="G47" s="12">
        <f t="shared" si="11"/>
        <v>72</v>
      </c>
      <c r="H47" s="12">
        <f>G47*B47</f>
        <v>10.799999999999999</v>
      </c>
      <c r="L47" s="11" t="s">
        <v>66</v>
      </c>
      <c r="M47" s="45">
        <f>G43</f>
        <v>4</v>
      </c>
      <c r="N47" s="45">
        <f>G53</f>
        <v>-12</v>
      </c>
      <c r="O47" s="11" t="s">
        <v>69</v>
      </c>
      <c r="P47" s="32"/>
      <c r="Q47" s="32"/>
      <c r="R47" s="32"/>
    </row>
    <row r="48" spans="1:18" x14ac:dyDescent="0.2">
      <c r="A48" s="1" t="s">
        <v>23</v>
      </c>
      <c r="B48" s="13">
        <v>0.05</v>
      </c>
      <c r="C48" s="1">
        <f t="shared" si="10"/>
        <v>80</v>
      </c>
      <c r="D48" s="11">
        <f>MIN(A48,C48)</f>
        <v>80</v>
      </c>
      <c r="E48" s="12">
        <f>D48*1.7</f>
        <v>136</v>
      </c>
      <c r="F48" s="15">
        <f>4*$B$5</f>
        <v>64</v>
      </c>
      <c r="G48" s="12">
        <f t="shared" si="11"/>
        <v>72</v>
      </c>
      <c r="H48" s="12">
        <f>G48*B48</f>
        <v>3.6</v>
      </c>
      <c r="N48" s="47"/>
    </row>
    <row r="49" spans="1:20" x14ac:dyDescent="0.2">
      <c r="A49" s="70" t="s">
        <v>25</v>
      </c>
      <c r="B49" s="71"/>
      <c r="C49" s="71"/>
      <c r="D49" s="71"/>
      <c r="E49" s="71"/>
      <c r="F49" s="71"/>
      <c r="G49" s="72"/>
      <c r="H49" s="12">
        <f>SUMPRODUCT(G43:G48,B43:B48)</f>
        <v>56.699999999999996</v>
      </c>
    </row>
    <row r="51" spans="1:20" x14ac:dyDescent="0.2">
      <c r="A51" s="63" t="s">
        <v>28</v>
      </c>
      <c r="B51" s="64"/>
      <c r="C51" s="64"/>
      <c r="D51" s="64"/>
      <c r="E51" s="64"/>
      <c r="F51" s="64"/>
      <c r="G51" s="64"/>
      <c r="H51" s="65"/>
      <c r="L51" s="23"/>
      <c r="M51" s="23"/>
      <c r="N51" s="23"/>
      <c r="O51" s="23"/>
      <c r="P51" s="23"/>
    </row>
    <row r="52" spans="1:20" x14ac:dyDescent="0.2">
      <c r="A52" s="7" t="s">
        <v>11</v>
      </c>
      <c r="B52" s="7" t="s">
        <v>12</v>
      </c>
      <c r="C52" s="7" t="s">
        <v>24</v>
      </c>
      <c r="D52" s="7" t="s">
        <v>53</v>
      </c>
      <c r="E52" s="7" t="s">
        <v>13</v>
      </c>
      <c r="F52" s="14" t="s">
        <v>15</v>
      </c>
      <c r="G52" s="7" t="s">
        <v>14</v>
      </c>
      <c r="H52" s="7" t="s">
        <v>16</v>
      </c>
      <c r="L52" s="28"/>
      <c r="M52" s="28"/>
      <c r="N52" s="59"/>
      <c r="O52" s="59"/>
      <c r="P52" s="59"/>
    </row>
    <row r="53" spans="1:20" x14ac:dyDescent="0.2">
      <c r="A53" s="1" t="s">
        <v>18</v>
      </c>
      <c r="B53" s="1">
        <f>B43</f>
        <v>0.15</v>
      </c>
      <c r="C53" s="1">
        <f>5*20</f>
        <v>100</v>
      </c>
      <c r="D53" s="11">
        <f>MIN(40,100)</f>
        <v>40</v>
      </c>
      <c r="E53" s="12">
        <f>D53*1.7</f>
        <v>68</v>
      </c>
      <c r="F53" s="15">
        <f>5*16</f>
        <v>80</v>
      </c>
      <c r="G53" s="12">
        <f>E53-F53</f>
        <v>-12</v>
      </c>
      <c r="H53" s="12">
        <f>B53*G53</f>
        <v>-1.7999999999999998</v>
      </c>
      <c r="L53" s="28"/>
      <c r="M53" s="28"/>
      <c r="N53" s="59"/>
      <c r="O53" s="59"/>
      <c r="P53" s="59"/>
    </row>
    <row r="54" spans="1:20" x14ac:dyDescent="0.2">
      <c r="A54" s="1" t="s">
        <v>19</v>
      </c>
      <c r="B54" s="1">
        <f>B44</f>
        <v>0.15</v>
      </c>
      <c r="C54" s="1">
        <f t="shared" ref="C54:C58" si="12">5*20</f>
        <v>100</v>
      </c>
      <c r="D54" s="11">
        <f>MIN(60,100)</f>
        <v>60</v>
      </c>
      <c r="E54" s="12">
        <f>D54*1.7</f>
        <v>102</v>
      </c>
      <c r="F54" s="15">
        <f>5*B5</f>
        <v>80</v>
      </c>
      <c r="G54" s="12">
        <f t="shared" ref="G54:G58" si="13">E54-F54</f>
        <v>22</v>
      </c>
      <c r="H54" s="12">
        <f>B54*G54</f>
        <v>3.3</v>
      </c>
      <c r="L54" s="23"/>
      <c r="M54" s="23"/>
      <c r="N54" s="60"/>
      <c r="O54" s="60"/>
      <c r="P54" s="23"/>
    </row>
    <row r="55" spans="1:20" x14ac:dyDescent="0.2">
      <c r="A55" s="1" t="s">
        <v>20</v>
      </c>
      <c r="B55" s="1">
        <f>B45</f>
        <v>0.25</v>
      </c>
      <c r="C55" s="1">
        <f t="shared" si="12"/>
        <v>100</v>
      </c>
      <c r="D55" s="11">
        <f>MIN(80,100)</f>
        <v>80</v>
      </c>
      <c r="E55" s="12">
        <f>D55*1.7</f>
        <v>136</v>
      </c>
      <c r="F55" s="15">
        <f>5*16</f>
        <v>80</v>
      </c>
      <c r="G55" s="12">
        <f t="shared" si="13"/>
        <v>56</v>
      </c>
      <c r="H55" s="12">
        <f>B55*G55</f>
        <v>14</v>
      </c>
      <c r="L55" s="28"/>
      <c r="M55" s="28"/>
      <c r="N55" s="59"/>
      <c r="O55" s="59"/>
      <c r="P55" s="59"/>
    </row>
    <row r="56" spans="1:20" x14ac:dyDescent="0.2">
      <c r="A56" s="1" t="s">
        <v>21</v>
      </c>
      <c r="B56" s="1">
        <f>B46</f>
        <v>0.25</v>
      </c>
      <c r="C56" s="1">
        <f t="shared" si="12"/>
        <v>100</v>
      </c>
      <c r="D56" s="11">
        <f>MIN(100,100)</f>
        <v>100</v>
      </c>
      <c r="E56" s="12">
        <f>D56*1.7</f>
        <v>170</v>
      </c>
      <c r="F56" s="15">
        <f t="shared" ref="F56:F58" si="14">5*16</f>
        <v>80</v>
      </c>
      <c r="G56" s="12">
        <f t="shared" si="13"/>
        <v>90</v>
      </c>
      <c r="H56" s="12">
        <f>B56*G56</f>
        <v>22.5</v>
      </c>
      <c r="L56" s="28"/>
      <c r="M56" s="28"/>
      <c r="N56" s="59"/>
      <c r="O56" s="59"/>
      <c r="P56" s="59"/>
    </row>
    <row r="57" spans="1:20" x14ac:dyDescent="0.2">
      <c r="A57" s="1" t="s">
        <v>22</v>
      </c>
      <c r="B57" s="5">
        <f>B47</f>
        <v>0.15</v>
      </c>
      <c r="C57" s="1">
        <f t="shared" si="12"/>
        <v>100</v>
      </c>
      <c r="D57" s="11">
        <f>MIN(120,100)</f>
        <v>100</v>
      </c>
      <c r="E57" s="12">
        <f>D57*1.7</f>
        <v>170</v>
      </c>
      <c r="F57" s="15">
        <f t="shared" si="14"/>
        <v>80</v>
      </c>
      <c r="G57" s="12">
        <f t="shared" si="13"/>
        <v>90</v>
      </c>
      <c r="H57" s="12">
        <f>B57*G57</f>
        <v>13.5</v>
      </c>
      <c r="L57" s="28"/>
      <c r="M57" s="28"/>
      <c r="N57" s="59"/>
      <c r="O57" s="59"/>
      <c r="P57" s="59"/>
    </row>
    <row r="58" spans="1:20" x14ac:dyDescent="0.2">
      <c r="A58" s="1" t="s">
        <v>23</v>
      </c>
      <c r="B58" s="13">
        <v>0.05</v>
      </c>
      <c r="C58" s="1">
        <f t="shared" si="12"/>
        <v>100</v>
      </c>
      <c r="D58" s="11">
        <f>MIN(140,100)</f>
        <v>100</v>
      </c>
      <c r="E58" s="12">
        <f>D58*1.7</f>
        <v>170</v>
      </c>
      <c r="F58" s="15">
        <f t="shared" si="14"/>
        <v>80</v>
      </c>
      <c r="G58" s="12">
        <f t="shared" si="13"/>
        <v>90</v>
      </c>
      <c r="H58" s="12">
        <f>B58*G58</f>
        <v>4.5</v>
      </c>
    </row>
    <row r="59" spans="1:20" x14ac:dyDescent="0.2">
      <c r="A59" s="70" t="s">
        <v>25</v>
      </c>
      <c r="B59" s="71"/>
      <c r="C59" s="71"/>
      <c r="D59" s="71"/>
      <c r="E59" s="71"/>
      <c r="F59" s="71"/>
      <c r="G59" s="72"/>
      <c r="H59" s="12">
        <f>SUMPRODUCT(G53:G58,B53:B58)</f>
        <v>56</v>
      </c>
    </row>
    <row r="61" spans="1:20" x14ac:dyDescent="0.2">
      <c r="A61" s="63" t="s">
        <v>29</v>
      </c>
      <c r="B61" s="64"/>
      <c r="C61" s="64"/>
      <c r="D61" s="64"/>
      <c r="E61" s="64"/>
      <c r="F61" s="64"/>
      <c r="G61" s="64"/>
      <c r="H61" s="65"/>
    </row>
    <row r="62" spans="1:20" x14ac:dyDescent="0.2">
      <c r="A62" s="7" t="s">
        <v>11</v>
      </c>
      <c r="B62" s="7" t="s">
        <v>12</v>
      </c>
      <c r="C62" s="7" t="s">
        <v>24</v>
      </c>
      <c r="D62" s="7" t="s">
        <v>53</v>
      </c>
      <c r="E62" s="7" t="s">
        <v>13</v>
      </c>
      <c r="F62" s="14" t="s">
        <v>15</v>
      </c>
      <c r="G62" s="7" t="s">
        <v>14</v>
      </c>
      <c r="H62" s="7" t="s">
        <v>16</v>
      </c>
    </row>
    <row r="63" spans="1:20" x14ac:dyDescent="0.2">
      <c r="A63" s="1" t="s">
        <v>18</v>
      </c>
      <c r="B63" s="1">
        <f>B53</f>
        <v>0.15</v>
      </c>
      <c r="C63" s="1">
        <f>6*20</f>
        <v>120</v>
      </c>
      <c r="D63" s="11">
        <f>MIN(40,120)</f>
        <v>40</v>
      </c>
      <c r="E63" s="12">
        <f>D63*B4</f>
        <v>68</v>
      </c>
      <c r="F63" s="15">
        <f>6*B$5</f>
        <v>96</v>
      </c>
      <c r="G63" s="12">
        <f>E63-F63</f>
        <v>-28</v>
      </c>
      <c r="H63" s="12">
        <f>G63*B63</f>
        <v>-4.2</v>
      </c>
      <c r="P63" s="21"/>
      <c r="Q63" s="21"/>
      <c r="R63" s="21"/>
      <c r="S63" s="21"/>
      <c r="T63" s="21"/>
    </row>
    <row r="64" spans="1:20" x14ac:dyDescent="0.2">
      <c r="A64" s="1" t="s">
        <v>19</v>
      </c>
      <c r="B64" s="1">
        <f>B54</f>
        <v>0.15</v>
      </c>
      <c r="C64" s="1">
        <f t="shared" ref="C64:C68" si="15">6*20</f>
        <v>120</v>
      </c>
      <c r="D64" s="11">
        <f>MIN(60,120)</f>
        <v>60</v>
      </c>
      <c r="E64" s="12">
        <f>D64*B4</f>
        <v>102</v>
      </c>
      <c r="F64" s="15">
        <f>6*B$5</f>
        <v>96</v>
      </c>
      <c r="G64" s="12">
        <f t="shared" ref="G64:G68" si="16">E64-F64</f>
        <v>6</v>
      </c>
      <c r="H64" s="12">
        <f>G64*B64</f>
        <v>0.89999999999999991</v>
      </c>
      <c r="P64" s="29"/>
      <c r="Q64" s="29"/>
      <c r="R64" s="29"/>
      <c r="S64" s="22"/>
      <c r="T64" s="29"/>
    </row>
    <row r="65" spans="1:20" x14ac:dyDescent="0.2">
      <c r="A65" s="1" t="s">
        <v>20</v>
      </c>
      <c r="B65" s="1">
        <f>B55</f>
        <v>0.25</v>
      </c>
      <c r="C65" s="1">
        <f t="shared" si="15"/>
        <v>120</v>
      </c>
      <c r="D65" s="11">
        <f>MIN(80,120)</f>
        <v>80</v>
      </c>
      <c r="E65" s="12">
        <f>80*B4</f>
        <v>136</v>
      </c>
      <c r="F65" s="15">
        <f>6*B$5</f>
        <v>96</v>
      </c>
      <c r="G65" s="12">
        <f t="shared" si="16"/>
        <v>40</v>
      </c>
      <c r="H65" s="12">
        <f>G65*B65</f>
        <v>10</v>
      </c>
      <c r="P65" s="29"/>
      <c r="Q65" s="29"/>
      <c r="R65" s="29"/>
      <c r="S65" s="22"/>
      <c r="T65" s="29"/>
    </row>
    <row r="66" spans="1:20" x14ac:dyDescent="0.2">
      <c r="A66" s="1" t="s">
        <v>21</v>
      </c>
      <c r="B66" s="1">
        <f>B56</f>
        <v>0.25</v>
      </c>
      <c r="C66" s="1">
        <f t="shared" si="15"/>
        <v>120</v>
      </c>
      <c r="D66" s="11">
        <f>MIN(100,120)</f>
        <v>100</v>
      </c>
      <c r="E66" s="12">
        <f>D66*B4</f>
        <v>170</v>
      </c>
      <c r="F66" s="15">
        <f>6*B$5</f>
        <v>96</v>
      </c>
      <c r="G66" s="12">
        <f t="shared" si="16"/>
        <v>74</v>
      </c>
      <c r="H66" s="12">
        <f>G66*B66</f>
        <v>18.5</v>
      </c>
      <c r="Q66" s="29"/>
      <c r="R66" s="29"/>
      <c r="S66" s="22"/>
      <c r="T66" s="29"/>
    </row>
    <row r="67" spans="1:20" x14ac:dyDescent="0.2">
      <c r="A67" s="1" t="s">
        <v>22</v>
      </c>
      <c r="B67" s="5">
        <f>B57</f>
        <v>0.15</v>
      </c>
      <c r="C67" s="1">
        <f t="shared" si="15"/>
        <v>120</v>
      </c>
      <c r="D67" s="11">
        <f>MIN(120,120)</f>
        <v>120</v>
      </c>
      <c r="E67" s="12">
        <f>D67*B4</f>
        <v>204</v>
      </c>
      <c r="F67" s="15">
        <f>6*B$5</f>
        <v>96</v>
      </c>
      <c r="G67" s="12">
        <f t="shared" si="16"/>
        <v>108</v>
      </c>
      <c r="H67" s="12">
        <f>G67*B67</f>
        <v>16.2</v>
      </c>
      <c r="Q67" s="29"/>
      <c r="R67" s="29"/>
      <c r="S67" s="22"/>
      <c r="T67" s="29"/>
    </row>
    <row r="68" spans="1:20" x14ac:dyDescent="0.2">
      <c r="A68" s="1" t="s">
        <v>23</v>
      </c>
      <c r="B68" s="13">
        <v>0.05</v>
      </c>
      <c r="C68" s="1">
        <f t="shared" si="15"/>
        <v>120</v>
      </c>
      <c r="D68" s="11">
        <f>MIN(140,120)</f>
        <v>120</v>
      </c>
      <c r="E68" s="12">
        <f>D68*B4</f>
        <v>204</v>
      </c>
      <c r="F68" s="15">
        <f>6*B$5</f>
        <v>96</v>
      </c>
      <c r="G68" s="12">
        <f t="shared" si="16"/>
        <v>108</v>
      </c>
      <c r="H68" s="12">
        <f>G68*B68</f>
        <v>5.4</v>
      </c>
      <c r="Q68" s="29"/>
      <c r="R68" s="29"/>
      <c r="S68" s="22"/>
      <c r="T68" s="29"/>
    </row>
    <row r="69" spans="1:20" x14ac:dyDescent="0.2">
      <c r="A69" s="70" t="s">
        <v>25</v>
      </c>
      <c r="B69" s="71"/>
      <c r="C69" s="71"/>
      <c r="D69" s="71"/>
      <c r="E69" s="71"/>
      <c r="F69" s="71"/>
      <c r="G69" s="72"/>
      <c r="H69" s="12">
        <f>SUMPRODUCT(G63:G68,B63:B68)</f>
        <v>46.8</v>
      </c>
      <c r="Q69" s="29"/>
      <c r="R69" s="29"/>
      <c r="S69" s="22"/>
      <c r="T69" s="29"/>
    </row>
    <row r="70" spans="1:20" x14ac:dyDescent="0.2">
      <c r="Q70" s="22"/>
      <c r="R70" s="22"/>
      <c r="S70" s="21"/>
      <c r="T70" s="21"/>
    </row>
    <row r="71" spans="1:20" x14ac:dyDescent="0.2">
      <c r="A71" s="63" t="s">
        <v>30</v>
      </c>
      <c r="B71" s="64"/>
      <c r="C71" s="64"/>
      <c r="D71" s="64"/>
      <c r="E71" s="64"/>
      <c r="F71" s="64"/>
      <c r="G71" s="64"/>
      <c r="H71" s="65"/>
    </row>
    <row r="72" spans="1:20" x14ac:dyDescent="0.2">
      <c r="A72" s="7" t="s">
        <v>11</v>
      </c>
      <c r="B72" s="7" t="s">
        <v>12</v>
      </c>
      <c r="C72" s="7" t="s">
        <v>24</v>
      </c>
      <c r="D72" s="7" t="s">
        <v>53</v>
      </c>
      <c r="E72" s="7" t="s">
        <v>13</v>
      </c>
      <c r="F72" s="14" t="s">
        <v>15</v>
      </c>
      <c r="G72" s="7" t="s">
        <v>14</v>
      </c>
      <c r="H72" s="7" t="s">
        <v>16</v>
      </c>
    </row>
    <row r="73" spans="1:20" x14ac:dyDescent="0.2">
      <c r="A73" s="1" t="s">
        <v>18</v>
      </c>
      <c r="B73" s="1">
        <f>B63</f>
        <v>0.15</v>
      </c>
      <c r="C73" s="1">
        <f>7*20</f>
        <v>140</v>
      </c>
      <c r="D73" s="11">
        <f>MIN(40,150)</f>
        <v>40</v>
      </c>
      <c r="E73" s="12">
        <f>D73*B4</f>
        <v>68</v>
      </c>
      <c r="F73" s="15">
        <f>7*B$5</f>
        <v>112</v>
      </c>
      <c r="G73" s="12">
        <f>E73-F73</f>
        <v>-44</v>
      </c>
      <c r="H73" s="12">
        <f>G73*B73</f>
        <v>-6.6</v>
      </c>
    </row>
    <row r="74" spans="1:20" x14ac:dyDescent="0.2">
      <c r="A74" s="1" t="s">
        <v>19</v>
      </c>
      <c r="B74" s="1">
        <f>B64</f>
        <v>0.15</v>
      </c>
      <c r="C74" s="1">
        <f t="shared" ref="C74:C78" si="17">7*20</f>
        <v>140</v>
      </c>
      <c r="D74" s="11">
        <f>MIN(60,140)</f>
        <v>60</v>
      </c>
      <c r="E74" s="12">
        <f>D74*B$4</f>
        <v>102</v>
      </c>
      <c r="F74" s="15">
        <f>7*B$5</f>
        <v>112</v>
      </c>
      <c r="G74" s="12">
        <f t="shared" ref="G74:G78" si="18">E74-F74</f>
        <v>-10</v>
      </c>
      <c r="H74" s="12">
        <f>G74*B74</f>
        <v>-1.5</v>
      </c>
    </row>
    <row r="75" spans="1:20" x14ac:dyDescent="0.2">
      <c r="A75" s="1" t="s">
        <v>20</v>
      </c>
      <c r="B75" s="1">
        <f>B65</f>
        <v>0.25</v>
      </c>
      <c r="C75" s="1">
        <f t="shared" si="17"/>
        <v>140</v>
      </c>
      <c r="D75" s="11">
        <f>MIN(80,140)</f>
        <v>80</v>
      </c>
      <c r="E75" s="12">
        <f>D75*B$4</f>
        <v>136</v>
      </c>
      <c r="F75" s="15">
        <f>7*B$5</f>
        <v>112</v>
      </c>
      <c r="G75" s="12">
        <f t="shared" si="18"/>
        <v>24</v>
      </c>
      <c r="H75" s="12">
        <f>G75*B75</f>
        <v>6</v>
      </c>
    </row>
    <row r="76" spans="1:20" x14ac:dyDescent="0.2">
      <c r="A76" s="1" t="s">
        <v>21</v>
      </c>
      <c r="B76" s="1">
        <f>B66</f>
        <v>0.25</v>
      </c>
      <c r="C76" s="1">
        <f t="shared" si="17"/>
        <v>140</v>
      </c>
      <c r="D76" s="11">
        <f>MIN(100,140)</f>
        <v>100</v>
      </c>
      <c r="E76" s="12">
        <f>D76*B$4</f>
        <v>170</v>
      </c>
      <c r="F76" s="15">
        <f>7*B$5</f>
        <v>112</v>
      </c>
      <c r="G76" s="12">
        <f t="shared" si="18"/>
        <v>58</v>
      </c>
      <c r="H76" s="12">
        <f>G76*B76</f>
        <v>14.5</v>
      </c>
    </row>
    <row r="77" spans="1:20" x14ac:dyDescent="0.2">
      <c r="A77" s="1" t="s">
        <v>22</v>
      </c>
      <c r="B77" s="5">
        <f>B67</f>
        <v>0.15</v>
      </c>
      <c r="C77" s="1">
        <f t="shared" si="17"/>
        <v>140</v>
      </c>
      <c r="D77" s="11">
        <f>MIN(120,140)</f>
        <v>120</v>
      </c>
      <c r="E77" s="12">
        <f>D77*B$4</f>
        <v>204</v>
      </c>
      <c r="F77" s="15">
        <f>7*B$5</f>
        <v>112</v>
      </c>
      <c r="G77" s="12">
        <f t="shared" si="18"/>
        <v>92</v>
      </c>
      <c r="H77" s="12">
        <f>G77*B77</f>
        <v>13.799999999999999</v>
      </c>
    </row>
    <row r="78" spans="1:20" x14ac:dyDescent="0.2">
      <c r="A78" s="1" t="s">
        <v>23</v>
      </c>
      <c r="B78" s="13">
        <v>0.05</v>
      </c>
      <c r="C78" s="1">
        <f t="shared" si="17"/>
        <v>140</v>
      </c>
      <c r="D78" s="11">
        <f>MIN(140,140)</f>
        <v>140</v>
      </c>
      <c r="E78" s="12">
        <f>D78*B$4</f>
        <v>238</v>
      </c>
      <c r="F78" s="15">
        <f>7*B$5</f>
        <v>112</v>
      </c>
      <c r="G78" s="12">
        <f t="shared" si="18"/>
        <v>126</v>
      </c>
      <c r="H78" s="12">
        <f>G78*B78</f>
        <v>6.3000000000000007</v>
      </c>
      <c r="S78" s="32"/>
      <c r="T78" s="32"/>
    </row>
    <row r="79" spans="1:20" x14ac:dyDescent="0.2">
      <c r="A79" s="70" t="s">
        <v>25</v>
      </c>
      <c r="B79" s="71"/>
      <c r="C79" s="71"/>
      <c r="D79" s="71"/>
      <c r="E79" s="71"/>
      <c r="F79" s="71"/>
      <c r="G79" s="72"/>
      <c r="H79" s="12">
        <f>SUMPRODUCT(G73:G78,B73:B78)</f>
        <v>32.5</v>
      </c>
      <c r="R79" s="31"/>
      <c r="S79" s="32"/>
      <c r="T79" s="32"/>
    </row>
    <row r="80" spans="1:20" x14ac:dyDescent="0.2">
      <c r="R80" s="31"/>
      <c r="S80" s="32"/>
      <c r="T80" s="32"/>
    </row>
    <row r="81" spans="1:22" x14ac:dyDescent="0.2">
      <c r="A81" s="81" t="s">
        <v>31</v>
      </c>
      <c r="B81" s="82"/>
      <c r="C81" s="82"/>
      <c r="D81" s="82"/>
      <c r="E81" s="82"/>
      <c r="F81" s="16"/>
      <c r="R81" s="31"/>
      <c r="S81" s="32"/>
      <c r="T81" s="32"/>
    </row>
    <row r="82" spans="1:22" x14ac:dyDescent="0.2">
      <c r="A82" s="7" t="s">
        <v>32</v>
      </c>
      <c r="B82" s="7" t="s">
        <v>33</v>
      </c>
      <c r="C82" s="7" t="s">
        <v>34</v>
      </c>
      <c r="D82" s="7" t="s">
        <v>41</v>
      </c>
      <c r="E82" s="7" t="s">
        <v>47</v>
      </c>
      <c r="R82" s="31"/>
      <c r="S82" s="32"/>
      <c r="T82" s="32"/>
    </row>
    <row r="83" spans="1:22" x14ac:dyDescent="0.2">
      <c r="A83" s="18">
        <v>2</v>
      </c>
      <c r="B83" s="18">
        <f>2*$B$6</f>
        <v>40</v>
      </c>
      <c r="C83" s="19">
        <f>SUMPRODUCT(G23:G28, B23:B28)</f>
        <v>35.999999999999993</v>
      </c>
      <c r="D83" s="17"/>
      <c r="E83" s="17"/>
      <c r="R83" s="31"/>
      <c r="S83" s="32"/>
      <c r="T83" s="32"/>
    </row>
    <row r="84" spans="1:22" x14ac:dyDescent="0.2">
      <c r="A84" s="1">
        <v>3</v>
      </c>
      <c r="B84" s="1">
        <f>3*$B$6</f>
        <v>60</v>
      </c>
      <c r="C84" s="19">
        <f>SUMPRODUCT(G33:G38, B33:B38)</f>
        <v>48.900000000000006</v>
      </c>
      <c r="D84" s="17"/>
      <c r="E84" s="17"/>
      <c r="R84" s="31"/>
      <c r="S84" s="32"/>
      <c r="T84" s="32"/>
    </row>
    <row r="85" spans="1:22" ht="19" customHeight="1" x14ac:dyDescent="0.2">
      <c r="A85" s="1">
        <v>4</v>
      </c>
      <c r="B85" s="1">
        <f>4*$B$6</f>
        <v>80</v>
      </c>
      <c r="C85" s="19">
        <f>SUMPRODUCT(G43:G48, B43:B48)</f>
        <v>56.699999999999996</v>
      </c>
      <c r="D85" s="11">
        <f>INDEX($A$83:$A$88, MATCH(MAX($C$83:$C$88), $C$83:$C$88, 0))</f>
        <v>4</v>
      </c>
      <c r="E85" s="20">
        <f>INDEX($B$81:$B$86, MATCH(MAX($C$81:$C$86), $C$81:$C$86, 0))</f>
        <v>80</v>
      </c>
      <c r="F85" s="23"/>
      <c r="T85" s="30"/>
      <c r="U85" s="32"/>
      <c r="V85" s="32"/>
    </row>
    <row r="86" spans="1:22" x14ac:dyDescent="0.2">
      <c r="A86" s="1">
        <v>5</v>
      </c>
      <c r="B86" s="1">
        <f>5*$B$6</f>
        <v>100</v>
      </c>
      <c r="C86" s="19">
        <f>SUMPRODUCT(G53:G58, B53:B58)</f>
        <v>56</v>
      </c>
      <c r="D86" s="17"/>
      <c r="E86" s="17"/>
      <c r="T86" s="32"/>
      <c r="U86" s="32"/>
      <c r="V86" s="32"/>
    </row>
    <row r="87" spans="1:22" x14ac:dyDescent="0.2">
      <c r="A87" s="1">
        <v>6</v>
      </c>
      <c r="B87" s="1">
        <f>6*$B$6</f>
        <v>120</v>
      </c>
      <c r="C87" s="19">
        <f>SUMPRODUCT(G63:G68, B63:B68)</f>
        <v>46.8</v>
      </c>
      <c r="D87" s="17"/>
      <c r="E87" s="17"/>
    </row>
    <row r="88" spans="1:22" x14ac:dyDescent="0.2">
      <c r="A88" s="1">
        <v>7</v>
      </c>
      <c r="B88" s="1">
        <f>7*$B$6</f>
        <v>140</v>
      </c>
      <c r="C88" s="19">
        <f>SUMPRODUCT(G73:G78,B73:B78)</f>
        <v>32.5</v>
      </c>
      <c r="D88" s="17"/>
      <c r="E88" s="17"/>
    </row>
    <row r="89" spans="1:22" x14ac:dyDescent="0.2">
      <c r="A89" s="13"/>
      <c r="B89" s="13"/>
    </row>
    <row r="90" spans="1:22" x14ac:dyDescent="0.2">
      <c r="A90" s="73" t="s">
        <v>38</v>
      </c>
      <c r="B90" s="74"/>
      <c r="C90" s="74"/>
      <c r="D90" s="74"/>
      <c r="E90" s="75"/>
    </row>
    <row r="91" spans="1:22" x14ac:dyDescent="0.2">
      <c r="A91" s="78" t="s">
        <v>80</v>
      </c>
      <c r="B91" s="79"/>
      <c r="C91" s="79"/>
      <c r="D91" s="79"/>
      <c r="E91" s="80"/>
    </row>
    <row r="92" spans="1:22" x14ac:dyDescent="0.2">
      <c r="A92" s="56" t="s">
        <v>40</v>
      </c>
      <c r="B92" s="56" t="s">
        <v>39</v>
      </c>
    </row>
    <row r="93" spans="1:22" x14ac:dyDescent="0.2">
      <c r="A93" s="5">
        <v>1.7</v>
      </c>
      <c r="B93" s="5">
        <v>16</v>
      </c>
    </row>
    <row r="94" spans="1:22" x14ac:dyDescent="0.2">
      <c r="A94" s="7" t="s">
        <v>32</v>
      </c>
      <c r="B94" s="7" t="s">
        <v>33</v>
      </c>
      <c r="C94" s="7" t="s">
        <v>34</v>
      </c>
    </row>
    <row r="95" spans="1:22" x14ac:dyDescent="0.2">
      <c r="A95" s="1">
        <v>2</v>
      </c>
      <c r="B95" s="1">
        <f>A95*$B$6</f>
        <v>40</v>
      </c>
      <c r="C95" s="27" cm="1">
        <f t="array" ref="C95">SUMPRODUCT( $A$93 * IF($A$12:$A$17 &lt;= $B95, $A$12:$A$17, $B95), $B$12:$B$17 ) - ($A95 * $B$93)</f>
        <v>36</v>
      </c>
    </row>
    <row r="96" spans="1:22" x14ac:dyDescent="0.2">
      <c r="A96" s="1">
        <v>3</v>
      </c>
      <c r="B96" s="1">
        <f t="shared" ref="B96:B100" si="19">A96*$B$6</f>
        <v>60</v>
      </c>
      <c r="C96" s="27" cm="1">
        <f t="array" ref="C96">SUMPRODUCT( $A$93 * IF($A$12:$A$17 &lt;= $B96, $A$12:$A$17, $B96), $B$12:$B$17 ) - ($A96 * $B$93)</f>
        <v>48.899999999999991</v>
      </c>
      <c r="E96" s="83"/>
    </row>
    <row r="97" spans="1:5" x14ac:dyDescent="0.2">
      <c r="A97" s="1">
        <v>4</v>
      </c>
      <c r="B97" s="1">
        <f t="shared" si="19"/>
        <v>80</v>
      </c>
      <c r="C97" s="27" cm="1">
        <f t="array" ref="C97">SUMPRODUCT( $A$93 * IF($A$12:$A$17 &lt;= $B97, $A$12:$A$17, $B97), $B$12:$B$17 ) - ($A97 * $B$93)</f>
        <v>56.7</v>
      </c>
      <c r="E97" s="83"/>
    </row>
    <row r="98" spans="1:5" x14ac:dyDescent="0.2">
      <c r="A98" s="1">
        <v>5</v>
      </c>
      <c r="B98" s="1">
        <f t="shared" si="19"/>
        <v>100</v>
      </c>
      <c r="C98" s="27" cm="1">
        <f t="array" ref="C98">SUMPRODUCT( $A$93 * IF($A$12:$A$17 &lt;= $B98, $A$12:$A$17, $B98), $B$12:$B$17 ) - ($A98 * $B$93)</f>
        <v>56</v>
      </c>
      <c r="E98" s="83"/>
    </row>
    <row r="99" spans="1:5" x14ac:dyDescent="0.2">
      <c r="A99" s="1">
        <v>6</v>
      </c>
      <c r="B99" s="1">
        <f t="shared" si="19"/>
        <v>120</v>
      </c>
      <c r="C99" s="27" cm="1">
        <f t="array" ref="C99">SUMPRODUCT( $A$93 * IF($A$12:$A$17 &lt;= $B99, $A$12:$A$17, $B99), $B$12:$B$17 ) - ($A99 * $B$93)</f>
        <v>46.799999999999983</v>
      </c>
      <c r="E99" s="83"/>
    </row>
    <row r="100" spans="1:5" x14ac:dyDescent="0.2">
      <c r="A100" s="1">
        <v>7</v>
      </c>
      <c r="B100" s="1">
        <f t="shared" si="19"/>
        <v>140</v>
      </c>
      <c r="C100" s="27" cm="1">
        <f t="array" ref="C100">SUMPRODUCT( $A$93 * IF($A$12:$A$17 &lt;= $B100, $A$12:$A$17, $B100), $B$12:$B$17 ) - ($A100 * $B$93)</f>
        <v>32.5</v>
      </c>
      <c r="E100" s="83"/>
    </row>
    <row r="101" spans="1:5" x14ac:dyDescent="0.2">
      <c r="A101" s="62" t="s">
        <v>81</v>
      </c>
      <c r="B101" s="62"/>
      <c r="C101" s="62"/>
      <c r="E101" s="84"/>
    </row>
    <row r="102" spans="1:5" x14ac:dyDescent="0.2">
      <c r="A102" s="7" t="s">
        <v>76</v>
      </c>
      <c r="B102" s="7" t="s">
        <v>39</v>
      </c>
      <c r="E102" s="83"/>
    </row>
    <row r="103" spans="1:5" x14ac:dyDescent="0.2">
      <c r="A103" s="5">
        <f>A93+0.2</f>
        <v>1.9</v>
      </c>
      <c r="B103" s="5">
        <v>16</v>
      </c>
      <c r="E103" s="83"/>
    </row>
    <row r="104" spans="1:5" x14ac:dyDescent="0.2">
      <c r="A104" s="7" t="s">
        <v>32</v>
      </c>
      <c r="B104" s="7" t="s">
        <v>33</v>
      </c>
      <c r="C104" s="7" t="s">
        <v>34</v>
      </c>
      <c r="E104" s="83"/>
    </row>
    <row r="105" spans="1:5" x14ac:dyDescent="0.2">
      <c r="A105" s="1">
        <v>2</v>
      </c>
      <c r="B105" s="1">
        <f>A105*$B$6</f>
        <v>40</v>
      </c>
      <c r="C105" s="27" cm="1">
        <f t="array" ref="C105">SUMPRODUCT( $A$103 * IF($A$12:$A$17 &lt;= $B105, $A$12:$A$17, $B105), $B$12:$B$17 ) - ($A105 * $B$103)</f>
        <v>44</v>
      </c>
      <c r="E105" s="83"/>
    </row>
    <row r="106" spans="1:5" x14ac:dyDescent="0.2">
      <c r="A106" s="1">
        <v>3</v>
      </c>
      <c r="B106" s="1">
        <f t="shared" ref="B106:B110" si="20">A106*$B$6</f>
        <v>60</v>
      </c>
      <c r="C106" s="27" cm="1">
        <f t="array" ref="C106">SUMPRODUCT( $A$103 * IF($A$12:$A$17 &lt;= $B106, $A$12:$A$17, $B106), $B$12:$B$17 ) - ($A106 * $B$103)</f>
        <v>60.3</v>
      </c>
      <c r="E106" s="83"/>
    </row>
    <row r="107" spans="1:5" x14ac:dyDescent="0.2">
      <c r="A107" s="1">
        <v>4</v>
      </c>
      <c r="B107" s="1">
        <f t="shared" si="20"/>
        <v>80</v>
      </c>
      <c r="C107" s="27" cm="1">
        <f t="array" ref="C107">SUMPRODUCT( $A$103 * IF($A$12:$A$17 &lt;= $B107, $A$12:$A$17, $B107), $B$12:$B$17 ) - ($A107 * $B$103)</f>
        <v>70.900000000000006</v>
      </c>
    </row>
    <row r="108" spans="1:5" x14ac:dyDescent="0.2">
      <c r="A108" s="1">
        <v>5</v>
      </c>
      <c r="B108" s="1">
        <f t="shared" si="20"/>
        <v>100</v>
      </c>
      <c r="C108" s="27" cm="1">
        <f t="array" ref="C108">SUMPRODUCT( $A$103 * IF($A$12:$A$17 &lt;= $B108, $A$12:$A$17, $B108), $B$12:$B$17 ) - ($A108 * $B$103)</f>
        <v>72</v>
      </c>
    </row>
    <row r="109" spans="1:5" x14ac:dyDescent="0.2">
      <c r="A109" s="1">
        <v>6</v>
      </c>
      <c r="B109" s="1">
        <f t="shared" si="20"/>
        <v>120</v>
      </c>
      <c r="C109" s="27" cm="1">
        <f t="array" ref="C109">SUMPRODUCT( $A$103 * IF($A$12:$A$17 &lt;= $B109, $A$12:$A$17, $B109), $B$12:$B$17 ) - ($A109 * $B$103)</f>
        <v>63.599999999999994</v>
      </c>
    </row>
    <row r="110" spans="1:5" x14ac:dyDescent="0.2">
      <c r="A110" s="1">
        <v>7</v>
      </c>
      <c r="B110" s="1">
        <f t="shared" si="20"/>
        <v>140</v>
      </c>
      <c r="C110" s="27" cm="1">
        <f t="array" ref="C110">SUMPRODUCT( $A$103 * IF($A$12:$A$17 &lt;= $B110, $A$12:$A$17, $B110), $B$12:$B$17 ) - ($A110 * $B$103)</f>
        <v>49.5</v>
      </c>
    </row>
    <row r="111" spans="1:5" x14ac:dyDescent="0.2">
      <c r="A111" s="62" t="s">
        <v>82</v>
      </c>
      <c r="B111" s="62"/>
      <c r="C111" s="62"/>
    </row>
    <row r="112" spans="1:5" x14ac:dyDescent="0.2">
      <c r="A112" s="7" t="s">
        <v>77</v>
      </c>
      <c r="B112" s="7" t="s">
        <v>39</v>
      </c>
      <c r="C112" s="84"/>
    </row>
    <row r="113" spans="1:3" x14ac:dyDescent="0.2">
      <c r="A113" s="5">
        <f>A93-0.2</f>
        <v>1.5</v>
      </c>
      <c r="B113" s="5">
        <v>16</v>
      </c>
      <c r="C113" s="84"/>
    </row>
    <row r="114" spans="1:3" x14ac:dyDescent="0.2">
      <c r="A114" s="7" t="s">
        <v>32</v>
      </c>
      <c r="B114" s="7" t="s">
        <v>33</v>
      </c>
      <c r="C114" s="61" t="s">
        <v>34</v>
      </c>
    </row>
    <row r="115" spans="1:3" x14ac:dyDescent="0.2">
      <c r="A115" s="1">
        <v>2</v>
      </c>
      <c r="B115" s="1">
        <f>A115*$B$6</f>
        <v>40</v>
      </c>
      <c r="C115" s="27" cm="1">
        <f t="array" ref="C115">SUMPRODUCT( $A$113* IF($A$12:$A$17 &lt;= $B115, $A$12:$A$17, $B115), $B$12:$B$17 ) - ($A115 * $B$113)</f>
        <v>28</v>
      </c>
    </row>
    <row r="116" spans="1:3" x14ac:dyDescent="0.2">
      <c r="A116" s="1">
        <v>3</v>
      </c>
      <c r="B116" s="1">
        <f t="shared" ref="B116:B120" si="21">A116*$B$6</f>
        <v>60</v>
      </c>
      <c r="C116" s="27" cm="1">
        <f t="array" ref="C116">SUMPRODUCT( $A$113* IF($A$12:$A$17 &lt;= $B116, $A$12:$A$17, $B116), $B$12:$B$17 ) - ($A116 * $B$113)</f>
        <v>37.5</v>
      </c>
    </row>
    <row r="117" spans="1:3" x14ac:dyDescent="0.2">
      <c r="A117" s="7">
        <v>4</v>
      </c>
      <c r="B117" s="7">
        <f t="shared" si="21"/>
        <v>80</v>
      </c>
      <c r="C117" s="85" cm="1">
        <f t="array" ref="C117">SUMPRODUCT( $A$113* IF($A$12:$A$17 &lt;= $B117, $A$12:$A$17, $B117), $B$12:$B$17 ) - ($A117 * $B$113)</f>
        <v>42.5</v>
      </c>
    </row>
    <row r="118" spans="1:3" x14ac:dyDescent="0.2">
      <c r="A118" s="1">
        <v>5</v>
      </c>
      <c r="B118" s="1">
        <f t="shared" si="21"/>
        <v>100</v>
      </c>
      <c r="C118" s="27" cm="1">
        <f t="array" ref="C118">SUMPRODUCT( $A$113* IF($A$12:$A$17 &lt;= $B118, $A$12:$A$17, $B118), $B$12:$B$17 ) - ($A118 * $B$113)</f>
        <v>40</v>
      </c>
    </row>
    <row r="119" spans="1:3" x14ac:dyDescent="0.2">
      <c r="A119" s="1">
        <v>6</v>
      </c>
      <c r="B119" s="1">
        <f t="shared" si="21"/>
        <v>120</v>
      </c>
      <c r="C119" s="27" cm="1">
        <f t="array" ref="C119">SUMPRODUCT( $A$113* IF($A$12:$A$17 &lt;= $B119, $A$12:$A$17, $B119), $B$12:$B$17 ) - ($A119 * $B$113)</f>
        <v>30</v>
      </c>
    </row>
    <row r="120" spans="1:3" x14ac:dyDescent="0.2">
      <c r="A120" s="1">
        <v>7</v>
      </c>
      <c r="B120" s="1">
        <f t="shared" si="21"/>
        <v>140</v>
      </c>
      <c r="C120" s="27" cm="1">
        <f t="array" ref="C120">SUMPRODUCT( $A$113* IF($A$12:$A$17 &lt;= $B120, $A$12:$A$17, $B120), $B$12:$B$17 ) - ($A120 * $B$113)</f>
        <v>15.5</v>
      </c>
    </row>
    <row r="121" spans="1:3" x14ac:dyDescent="0.2">
      <c r="A121" s="62" t="s">
        <v>83</v>
      </c>
      <c r="B121" s="62"/>
      <c r="C121" s="62"/>
    </row>
    <row r="122" spans="1:3" x14ac:dyDescent="0.2">
      <c r="A122" s="7" t="s">
        <v>40</v>
      </c>
      <c r="B122" s="7" t="s">
        <v>78</v>
      </c>
      <c r="C122" s="84"/>
    </row>
    <row r="123" spans="1:3" x14ac:dyDescent="0.2">
      <c r="A123" s="5">
        <f>A93</f>
        <v>1.7</v>
      </c>
      <c r="B123" s="5">
        <f>B93+2</f>
        <v>18</v>
      </c>
      <c r="C123" s="84"/>
    </row>
    <row r="124" spans="1:3" x14ac:dyDescent="0.2">
      <c r="A124" s="7" t="s">
        <v>32</v>
      </c>
      <c r="B124" s="7" t="s">
        <v>33</v>
      </c>
      <c r="C124" s="7" t="s">
        <v>34</v>
      </c>
    </row>
    <row r="125" spans="1:3" x14ac:dyDescent="0.2">
      <c r="A125" s="1">
        <v>2</v>
      </c>
      <c r="B125" s="1">
        <f>A125*$B$6</f>
        <v>40</v>
      </c>
      <c r="C125" s="27" cm="1">
        <f t="array" ref="C125">SUMPRODUCT( $A$123* IF($A$12:$A$17 &lt;= $B125, $A$12:$A$17, $B125), $B$12:$B$17 ) - ($A125 * $B$123)</f>
        <v>32</v>
      </c>
    </row>
    <row r="126" spans="1:3" x14ac:dyDescent="0.2">
      <c r="A126" s="1">
        <v>3</v>
      </c>
      <c r="B126" s="1">
        <f t="shared" ref="B126:B130" si="22">A126*$B$6</f>
        <v>60</v>
      </c>
      <c r="C126" s="27" cm="1">
        <f t="array" ref="C126">SUMPRODUCT( $A$123* IF($A$12:$A$17 &lt;= $B126, $A$12:$A$17, $B126), $B$12:$B$17 ) - ($A126 * $B$123)</f>
        <v>42.899999999999991</v>
      </c>
    </row>
    <row r="127" spans="1:3" x14ac:dyDescent="0.2">
      <c r="A127" s="7">
        <v>4</v>
      </c>
      <c r="B127" s="7">
        <f t="shared" si="22"/>
        <v>80</v>
      </c>
      <c r="C127" s="85" cm="1">
        <f t="array" ref="C127">SUMPRODUCT( $A$123* IF($A$12:$A$17 &lt;= $B127, $A$12:$A$17, $B127), $B$12:$B$17 ) - ($A127 * $B$123)</f>
        <v>48.7</v>
      </c>
    </row>
    <row r="128" spans="1:3" x14ac:dyDescent="0.2">
      <c r="A128" s="1">
        <v>5</v>
      </c>
      <c r="B128" s="1">
        <f t="shared" si="22"/>
        <v>100</v>
      </c>
      <c r="C128" s="27" cm="1">
        <f t="array" ref="C128">SUMPRODUCT( $A$123* IF($A$12:$A$17 &lt;= $B128, $A$12:$A$17, $B128), $B$12:$B$17 ) - ($A128 * $B$123)</f>
        <v>46</v>
      </c>
    </row>
    <row r="129" spans="1:12" x14ac:dyDescent="0.2">
      <c r="A129" s="1">
        <v>6</v>
      </c>
      <c r="B129" s="1">
        <f t="shared" si="22"/>
        <v>120</v>
      </c>
      <c r="C129" s="27" cm="1">
        <f t="array" ref="C129">SUMPRODUCT( $A$123* IF($A$12:$A$17 &lt;= $B129, $A$12:$A$17, $B129), $B$12:$B$17 ) - ($A129 * $B$123)</f>
        <v>34.799999999999983</v>
      </c>
    </row>
    <row r="130" spans="1:12" x14ac:dyDescent="0.2">
      <c r="A130" s="1">
        <v>7</v>
      </c>
      <c r="B130" s="1">
        <f t="shared" si="22"/>
        <v>140</v>
      </c>
      <c r="C130" s="27" cm="1">
        <f t="array" ref="C130">SUMPRODUCT( $A$123* IF($A$12:$A$17 &lt;= $B130, $A$12:$A$17, $B130), $B$12:$B$17 ) - ($A130 * $B$123)</f>
        <v>18.5</v>
      </c>
    </row>
    <row r="131" spans="1:12" x14ac:dyDescent="0.2">
      <c r="A131" s="62" t="s">
        <v>84</v>
      </c>
      <c r="B131" s="62"/>
      <c r="C131" s="62"/>
    </row>
    <row r="132" spans="1:12" x14ac:dyDescent="0.2">
      <c r="A132" s="7" t="s">
        <v>40</v>
      </c>
      <c r="B132" s="7" t="s">
        <v>79</v>
      </c>
      <c r="C132" s="84"/>
    </row>
    <row r="133" spans="1:12" x14ac:dyDescent="0.2">
      <c r="A133" s="5">
        <f>A93</f>
        <v>1.7</v>
      </c>
      <c r="B133" s="5">
        <f>B93-2</f>
        <v>14</v>
      </c>
      <c r="C133" s="84"/>
    </row>
    <row r="134" spans="1:12" x14ac:dyDescent="0.2">
      <c r="A134" s="7" t="s">
        <v>32</v>
      </c>
      <c r="B134" s="7" t="s">
        <v>33</v>
      </c>
      <c r="C134" s="7" t="s">
        <v>34</v>
      </c>
    </row>
    <row r="135" spans="1:12" x14ac:dyDescent="0.2">
      <c r="A135" s="1">
        <v>2</v>
      </c>
      <c r="B135" s="1">
        <f>A135*$B$6</f>
        <v>40</v>
      </c>
      <c r="C135" s="27" cm="1">
        <f t="array" ref="C135">SUMPRODUCT( $A$133* IF($A$12:$A$17 &lt;= $B135, $A$12:$A$17, $B135), $B$12:$B$17 ) - ($A135 * $B$133)</f>
        <v>40</v>
      </c>
    </row>
    <row r="136" spans="1:12" x14ac:dyDescent="0.2">
      <c r="A136" s="1">
        <v>3</v>
      </c>
      <c r="B136" s="1">
        <f t="shared" ref="B136:B140" si="23">A136*$B$6</f>
        <v>60</v>
      </c>
      <c r="C136" s="27" cm="1">
        <f t="array" ref="C136">SUMPRODUCT( $A$133* IF($A$12:$A$17 &lt;= $B136, $A$12:$A$17, $B136), $B$12:$B$17 ) - ($A136 * $B$133)</f>
        <v>54.899999999999991</v>
      </c>
    </row>
    <row r="137" spans="1:12" x14ac:dyDescent="0.2">
      <c r="A137" s="1">
        <v>4</v>
      </c>
      <c r="B137" s="1">
        <f t="shared" si="23"/>
        <v>80</v>
      </c>
      <c r="C137" s="27" cm="1">
        <f t="array" ref="C137">SUMPRODUCT( $A$133* IF($A$12:$A$17 &lt;= $B137, $A$12:$A$17, $B137), $B$12:$B$17 ) - ($A137 * $B$133)</f>
        <v>64.7</v>
      </c>
    </row>
    <row r="138" spans="1:12" x14ac:dyDescent="0.2">
      <c r="A138" s="1">
        <v>5</v>
      </c>
      <c r="B138" s="1">
        <f t="shared" si="23"/>
        <v>100</v>
      </c>
      <c r="C138" s="27" cm="1">
        <f t="array" ref="C138">SUMPRODUCT( $A$133* IF($A$12:$A$17 &lt;= $B138, $A$12:$A$17, $B138), $B$12:$B$17 ) - ($A138 * $B$133)</f>
        <v>66</v>
      </c>
    </row>
    <row r="139" spans="1:12" x14ac:dyDescent="0.2">
      <c r="A139" s="1">
        <v>6</v>
      </c>
      <c r="B139" s="1">
        <f t="shared" si="23"/>
        <v>120</v>
      </c>
      <c r="C139" s="27" cm="1">
        <f t="array" ref="C139">SUMPRODUCT( $A$133* IF($A$12:$A$17 &lt;= $B139, $A$12:$A$17, $B139), $B$12:$B$17 ) - ($A139 * $B$133)</f>
        <v>58.799999999999983</v>
      </c>
    </row>
    <row r="140" spans="1:12" x14ac:dyDescent="0.2">
      <c r="A140" s="1">
        <v>7</v>
      </c>
      <c r="B140" s="1">
        <f t="shared" si="23"/>
        <v>140</v>
      </c>
      <c r="C140" s="27" cm="1">
        <f t="array" ref="C140">SUMPRODUCT( $A$133* IF($A$12:$A$17 &lt;= $B140, $A$12:$A$17, $B140), $B$12:$B$17 ) - ($A140 * $B$133)</f>
        <v>46.5</v>
      </c>
    </row>
    <row r="141" spans="1:12" x14ac:dyDescent="0.2">
      <c r="K141" s="23"/>
      <c r="L141" s="23"/>
    </row>
    <row r="142" spans="1:12" x14ac:dyDescent="0.2">
      <c r="A142" s="66" t="s">
        <v>74</v>
      </c>
      <c r="B142" s="67"/>
      <c r="C142" s="67"/>
      <c r="D142" s="67"/>
      <c r="E142" s="67"/>
      <c r="F142" s="68"/>
      <c r="K142" s="28"/>
      <c r="L142" s="28"/>
    </row>
    <row r="143" spans="1:12" x14ac:dyDescent="0.2">
      <c r="A143" s="7" t="s">
        <v>37</v>
      </c>
      <c r="B143" s="7" t="s">
        <v>40</v>
      </c>
      <c r="C143" s="7" t="s">
        <v>39</v>
      </c>
      <c r="D143" s="7" t="s">
        <v>47</v>
      </c>
      <c r="E143" s="7" t="s">
        <v>41</v>
      </c>
      <c r="F143" s="7" t="s">
        <v>48</v>
      </c>
      <c r="K143" s="28"/>
      <c r="L143" s="28"/>
    </row>
    <row r="144" spans="1:12" x14ac:dyDescent="0.2">
      <c r="A144" s="20" t="s">
        <v>42</v>
      </c>
      <c r="B144" s="5">
        <f>B4</f>
        <v>1.7</v>
      </c>
      <c r="C144" s="5">
        <v>16</v>
      </c>
      <c r="D144" s="1" t="str">
        <f>INDEX($A$23:$A$29, MATCH( MAX($C$95:$C$100), $C$95:$C$100, 0))</f>
        <v>80k</v>
      </c>
      <c r="E144" s="1" t="s">
        <v>35</v>
      </c>
      <c r="F144" s="12">
        <f>MAX($C$95:$C$100)</f>
        <v>56.7</v>
      </c>
      <c r="K144" s="28"/>
      <c r="L144" s="28"/>
    </row>
    <row r="145" spans="1:18" x14ac:dyDescent="0.2">
      <c r="A145" s="20" t="s">
        <v>43</v>
      </c>
      <c r="B145" s="5">
        <f>B144+0.2</f>
        <v>1.9</v>
      </c>
      <c r="C145" s="5">
        <v>16</v>
      </c>
      <c r="D145" s="1" t="str">
        <f>INDEX($A$23:$A$28, MATCH( MAX(C105:C110), C105:C110, 0))</f>
        <v>100k</v>
      </c>
      <c r="E145" s="1" t="s">
        <v>36</v>
      </c>
      <c r="F145" s="12">
        <f>MAX($C$105:$C$110)</f>
        <v>72</v>
      </c>
      <c r="K145" s="28"/>
      <c r="L145" s="28"/>
    </row>
    <row r="146" spans="1:18" x14ac:dyDescent="0.2">
      <c r="A146" s="20" t="s">
        <v>46</v>
      </c>
      <c r="B146" s="5">
        <f>B144-0.2</f>
        <v>1.5</v>
      </c>
      <c r="C146" s="5">
        <v>16</v>
      </c>
      <c r="D146" s="1" t="str">
        <f>INDEX($A$23:$A$28, MATCH( MAX(C115:C120), C115:C120, 0))</f>
        <v>80k</v>
      </c>
      <c r="E146" s="1" t="s">
        <v>35</v>
      </c>
      <c r="F146" s="12">
        <f>MAX($C$115:$C$120)</f>
        <v>42.5</v>
      </c>
      <c r="K146" s="28"/>
      <c r="L146" s="28"/>
    </row>
    <row r="147" spans="1:18" x14ac:dyDescent="0.2">
      <c r="A147" s="20" t="s">
        <v>44</v>
      </c>
      <c r="B147" s="5">
        <v>1.7</v>
      </c>
      <c r="C147" s="5">
        <f>C146+2</f>
        <v>18</v>
      </c>
      <c r="D147" s="1" t="str">
        <f>INDEX($A$23:$A$28, MATCH( MAX(C125:C130), C125:C130, 0))</f>
        <v>80k</v>
      </c>
      <c r="E147" s="1" t="s">
        <v>35</v>
      </c>
      <c r="F147" s="12">
        <f>MAX($C$125:$C$130)</f>
        <v>48.7</v>
      </c>
      <c r="K147" s="28"/>
      <c r="L147" s="28"/>
    </row>
    <row r="148" spans="1:18" x14ac:dyDescent="0.2">
      <c r="A148" s="20" t="s">
        <v>45</v>
      </c>
      <c r="B148" s="5">
        <v>1.7</v>
      </c>
      <c r="C148" s="5">
        <f>C144-2</f>
        <v>14</v>
      </c>
      <c r="D148" s="1" t="str">
        <f>INDEX($A$23:$A$28,MATCH(MAX(C135:C140),C135:C140, 0))</f>
        <v>100k</v>
      </c>
      <c r="E148" s="1" t="s">
        <v>36</v>
      </c>
      <c r="F148" s="12">
        <f>MAX($C$135:$C$140)</f>
        <v>66</v>
      </c>
      <c r="K148" s="28"/>
      <c r="L148" s="28"/>
    </row>
    <row r="153" spans="1:18" x14ac:dyDescent="0.2">
      <c r="M153" s="23"/>
      <c r="N153" s="23"/>
      <c r="O153" s="23"/>
      <c r="P153" s="23"/>
      <c r="Q153" s="23"/>
      <c r="R153" s="23"/>
    </row>
    <row r="154" spans="1:18" x14ac:dyDescent="0.2">
      <c r="M154" s="28"/>
      <c r="N154" s="28"/>
      <c r="O154" s="28"/>
      <c r="P154" s="28"/>
      <c r="Q154" s="28"/>
      <c r="R154" s="28"/>
    </row>
    <row r="155" spans="1:18" x14ac:dyDescent="0.2">
      <c r="M155" s="28"/>
      <c r="N155" s="28"/>
      <c r="O155" s="28"/>
      <c r="P155" s="28"/>
      <c r="Q155" s="28"/>
      <c r="R155" s="28"/>
    </row>
    <row r="156" spans="1:18" x14ac:dyDescent="0.2">
      <c r="M156" s="28"/>
      <c r="N156" s="28"/>
      <c r="O156" s="28"/>
      <c r="P156" s="28"/>
      <c r="Q156" s="28"/>
      <c r="R156" s="28"/>
    </row>
    <row r="157" spans="1:18" x14ac:dyDescent="0.2">
      <c r="M157" s="28"/>
      <c r="N157" s="28"/>
      <c r="O157" s="28"/>
      <c r="P157" s="28"/>
      <c r="Q157" s="28"/>
      <c r="R157" s="28"/>
    </row>
    <row r="158" spans="1:18" x14ac:dyDescent="0.2">
      <c r="M158" s="28"/>
      <c r="N158" s="28"/>
      <c r="O158" s="28"/>
      <c r="P158" s="28"/>
      <c r="Q158" s="28"/>
      <c r="R158" s="28"/>
    </row>
    <row r="159" spans="1:18" x14ac:dyDescent="0.2">
      <c r="M159" s="28"/>
      <c r="N159" s="28"/>
      <c r="O159" s="28"/>
      <c r="P159" s="28"/>
      <c r="Q159" s="28"/>
      <c r="R159" s="28"/>
    </row>
    <row r="160" spans="1:18" x14ac:dyDescent="0.2">
      <c r="M160" s="28"/>
      <c r="N160" s="28"/>
      <c r="O160" s="28"/>
      <c r="P160" s="28"/>
      <c r="Q160" s="28"/>
      <c r="R160" s="23"/>
    </row>
  </sheetData>
  <mergeCells count="23">
    <mergeCell ref="E2:E5"/>
    <mergeCell ref="A111:C111"/>
    <mergeCell ref="A81:E81"/>
    <mergeCell ref="A142:F142"/>
    <mergeCell ref="A90:E90"/>
    <mergeCell ref="A71:H71"/>
    <mergeCell ref="A79:G79"/>
    <mergeCell ref="L21:Q21"/>
    <mergeCell ref="A91:E91"/>
    <mergeCell ref="A101:C101"/>
    <mergeCell ref="A69:G69"/>
    <mergeCell ref="A61:H61"/>
    <mergeCell ref="A59:G59"/>
    <mergeCell ref="A51:H51"/>
    <mergeCell ref="A49:G49"/>
    <mergeCell ref="A41:H41"/>
    <mergeCell ref="A39:G39"/>
    <mergeCell ref="A31:H31"/>
    <mergeCell ref="A29:G29"/>
    <mergeCell ref="A21:H21"/>
    <mergeCell ref="A20:H20"/>
    <mergeCell ref="A131:C131"/>
    <mergeCell ref="A121:C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Annabelle</dc:creator>
  <cp:lastModifiedBy>Ashley Annabelle</cp:lastModifiedBy>
  <dcterms:created xsi:type="dcterms:W3CDTF">2025-11-08T12:59:18Z</dcterms:created>
  <dcterms:modified xsi:type="dcterms:W3CDTF">2025-11-21T04:22:24Z</dcterms:modified>
</cp:coreProperties>
</file>